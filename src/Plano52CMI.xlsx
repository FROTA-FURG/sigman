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M CMI 2024" sheetId="1" r:id="rId4"/>
  </sheets>
  <externalReferences>
    <externalReference r:id="rId5"/>
  </externalReferences>
  <definedNames>
    <definedName name="DATA10">[1]Planos!#REF!</definedName>
    <definedName name="DATA9">[1]Planos!#REF!</definedName>
  </definedNames>
  <calcPr/>
  <extLst>
    <ext uri="GoogleSheetsCustomDataVersion2">
      <go:sheetsCustomData xmlns:go="http://customooxmlschemas.google.com/" r:id="rId6" roundtripDataChecksum="CJew9RgCDaaU60GDm9nAFuE/NKTtKwRzMgwPdHmWmbE="/>
    </ext>
  </extLst>
</workbook>
</file>

<file path=xl/sharedStrings.xml><?xml version="1.0" encoding="utf-8"?>
<sst xmlns="http://schemas.openxmlformats.org/spreadsheetml/2006/main" count="419" uniqueCount="199">
  <si>
    <t>PCM 52 SEMANAS CIÊNCIAS DO MAR 1 (2025)</t>
  </si>
  <si>
    <t>/</t>
  </si>
  <si>
    <t>TAG</t>
  </si>
  <si>
    <t>Descrição do eqto</t>
  </si>
  <si>
    <t>Atividade</t>
  </si>
  <si>
    <t>Periodicidade</t>
  </si>
  <si>
    <t>30/12 à 05/01</t>
  </si>
  <si>
    <t>06/01 à 12/01</t>
  </si>
  <si>
    <t>13/01 à 19/01</t>
  </si>
  <si>
    <t>20/01 à 26/01</t>
  </si>
  <si>
    <t>27/01 à 02/02</t>
  </si>
  <si>
    <t>03/02 à 09/02</t>
  </si>
  <si>
    <t>10/02 à 16/02</t>
  </si>
  <si>
    <t>17/02 à 23/02</t>
  </si>
  <si>
    <t>24/02 à 02/03</t>
  </si>
  <si>
    <t>03/03 à 09/03</t>
  </si>
  <si>
    <t>10/03 à 16/03</t>
  </si>
  <si>
    <t>17/03 à 23/03</t>
  </si>
  <si>
    <t>24/03 à 30/03</t>
  </si>
  <si>
    <t>31/03 à 06/04</t>
  </si>
  <si>
    <t>07/04 à 13/04</t>
  </si>
  <si>
    <t>14/04 à 20/04</t>
  </si>
  <si>
    <t>21/04 à 27/04</t>
  </si>
  <si>
    <t>28/05 à 04/05</t>
  </si>
  <si>
    <t>05/05 à 11/05</t>
  </si>
  <si>
    <t>12/05 à 18/05</t>
  </si>
  <si>
    <t>19/05 à 25/05</t>
  </si>
  <si>
    <t>26/05 à 01/06</t>
  </si>
  <si>
    <t>02/06 à 08/06</t>
  </si>
  <si>
    <t>09/06 à 15/06</t>
  </si>
  <si>
    <t>16/06 à 22/06</t>
  </si>
  <si>
    <t>23/06 à 29/06</t>
  </si>
  <si>
    <t>30/06 à 06/07</t>
  </si>
  <si>
    <t>07/07 à 13/07</t>
  </si>
  <si>
    <t>14/07 à 20/07</t>
  </si>
  <si>
    <t>21/07 à 27/07</t>
  </si>
  <si>
    <t>28/07 à 03/08</t>
  </si>
  <si>
    <t>04/08 à 10/08</t>
  </si>
  <si>
    <t>11/08 à 17/08</t>
  </si>
  <si>
    <t>18/08 à 24/08</t>
  </si>
  <si>
    <t>25/08 à 31/08</t>
  </si>
  <si>
    <t>01/09 à 07/09</t>
  </si>
  <si>
    <t>08/09 à 14/09</t>
  </si>
  <si>
    <t>15/09 à 21/09</t>
  </si>
  <si>
    <t>22/09 à 28/09</t>
  </si>
  <si>
    <t>29/09 à 05/10</t>
  </si>
  <si>
    <t>06/10 à 12/10</t>
  </si>
  <si>
    <t>13/10 à 19/10</t>
  </si>
  <si>
    <t>20/10 à 26/10</t>
  </si>
  <si>
    <t>27/10 à 02/11</t>
  </si>
  <si>
    <t>03/11 à 09/11</t>
  </si>
  <si>
    <t>10/11 à 16/11</t>
  </si>
  <si>
    <t>17/11 à 23/11</t>
  </si>
  <si>
    <t>24/11 à 30/11</t>
  </si>
  <si>
    <t>01/12 à 07/12</t>
  </si>
  <si>
    <t>08/12 à 14/12</t>
  </si>
  <si>
    <t>15/12 à 21/12</t>
  </si>
  <si>
    <t>22/12 à 28/12</t>
  </si>
  <si>
    <t>CM01-SPP-MCPBB/BE</t>
  </si>
  <si>
    <t>Motor de Combustão Principal BB/BE - SCÂNIA - DI 13</t>
  </si>
  <si>
    <t>Troca de óleo, limpeza do filtro de óleo centrífugo e substituição do filtro de óleo</t>
  </si>
  <si>
    <t>350h/Trimestral</t>
  </si>
  <si>
    <t>Verificação do anticongelante ou anticorrosivo no líquido de arrefecimento</t>
  </si>
  <si>
    <t>Trimestral</t>
  </si>
  <si>
    <t>Limpeza do sistema de arrefecimento e troca de líquido de arrefecimento 
(Manual MCP p. 29)</t>
  </si>
  <si>
    <t>Anual</t>
  </si>
  <si>
    <t xml:space="preserve">Substituição do elemento do filtro do vacuômetro (Manual MCP p. 57) </t>
  </si>
  <si>
    <t>Substituição do cartucho de segurança após remover o elemento do filtro de ar 
(Manual do MCP p. 59)</t>
  </si>
  <si>
    <t xml:space="preserve">Verifícação da correia de trânsmissão </t>
  </si>
  <si>
    <t>Verifícação e ajustes das folgas das válvulas de injetores</t>
  </si>
  <si>
    <t>Docagem</t>
  </si>
  <si>
    <t>Bomba de água salgada - Verificar rotor e trocar se necessário.</t>
  </si>
  <si>
    <t>Semestral</t>
  </si>
  <si>
    <t xml:space="preserve">Limpar a caixa de mar e filtro </t>
  </si>
  <si>
    <t>CM01-SEE-MCABB/BE</t>
  </si>
  <si>
    <t>Motor de Combustão Auxiliar BB/BE - John Deere - FM 85</t>
  </si>
  <si>
    <t>Motor - Trocar óleo, substituir filtro de óleo.</t>
  </si>
  <si>
    <t>350 hr/Trimestral</t>
  </si>
  <si>
    <t>Fixação do motor - veríficar fixações e apertar parafusos, veríficar condições dos  isoladores de vibração.)</t>
  </si>
  <si>
    <t>semestral</t>
  </si>
  <si>
    <t>Ânodos de zinco - Verificar condições e trocar se necessário</t>
  </si>
  <si>
    <t>Trocar filtro de ventilação do cárter</t>
  </si>
  <si>
    <t>Sistema de admissão de ar - Veríficar sistema, mangueiras, braçadeiras e 
apertar se necessário.</t>
  </si>
  <si>
    <t>Filtros - Trocar elementos dos filtros primários e secundários de combustível, Remover 
a água e limpar o separador de água.</t>
  </si>
  <si>
    <t>Correias - Veríficar desgastes das correias Checar tensão de mola do tensor.</t>
  </si>
  <si>
    <t>Sistema de resfriamento - Veríficar sistema, mangueiras, abraçadeiras, testar pressão da tampa do radiador e testar pressão do sistema.</t>
  </si>
  <si>
    <t>Trocador de calor - Remover e inspecionar trocador de calor e componentes, 
limpar o núcleo, reinstalar e apertar parafusos.</t>
  </si>
  <si>
    <t>Motor - Verificar rotações, conexões de aterramento.</t>
  </si>
  <si>
    <t>Motor - Checar e ajustar folgas nas válvulas.</t>
  </si>
  <si>
    <t>Verificar se o amortecedor de vibração do virabrequim de borracha está rompida, faltando um pedaço ou apresentar alguma inconsistência, substituir. 
Verificação - (1° - posicione o relógio comparador de forma que a sonda entre em 
contato com o diâmetro externo do amortecedor.
2° - Com o motor na temperatura operacional gire o virabrequim.
3° - Observe a leitura do relógio comparador, a excentricidade não pode ultrapassar 1,50 mm)</t>
  </si>
  <si>
    <t>Bomba de água salgada - Remover e limpar interior, inspecionar e trocar
 engrenagem, reinstalar e apertar parafusos.</t>
  </si>
  <si>
    <t>Sistema de resfriamento - Testar pressão na tampa e sistema, drenar e descarregar fluído, 
testar termostatos, limpar sistemas e recarregar com novo fluído</t>
  </si>
  <si>
    <t>Sexênio</t>
  </si>
  <si>
    <t xml:space="preserve">Termostatos - Inspecionar interior da carcaça, trocar juntas, 
testar temperatura de abertura e fechamento.
(1° - Inspecione visualmente a área ao redor da carcaça do termostato.
2° - Drene parcialmente o sistema de refrigerante
3° - Remova a carcaça do termostato e descarte a junta
4° - Inspecione e teste os termostatos quanto à temperatura de abertura adequada. </t>
  </si>
  <si>
    <t>CM01-SMC-GPEBB/BE</t>
  </si>
  <si>
    <t>Guincho de pesca N1GRD-H2.000-80</t>
  </si>
  <si>
    <t>Revisão de todas as conexões hidráulicas.</t>
  </si>
  <si>
    <t>Bimestral</t>
  </si>
  <si>
    <t>Verificar vazamentos de óleo nas caixas redutoras.</t>
  </si>
  <si>
    <t>Verificar aperto dos parafusos do equipamento (mancais, caixa redutora e motor elétrico).</t>
  </si>
  <si>
    <t>Verificar aperto dos parafusos de fixaçãos do equipamento no convés.</t>
  </si>
  <si>
    <t>Verificar o funcionamento das botoeiras de emergência.</t>
  </si>
  <si>
    <t>CM01-SMC-GTCBB</t>
  </si>
  <si>
    <t>Guindaste Naval - MUNCK</t>
  </si>
  <si>
    <t>Sistema elétrico - Inspecionar Contactores, verificar contatos
 verificar níveis de tensão e corrente.</t>
  </si>
  <si>
    <t>Sistema elétrico - Limpar painéis internamente com jato de ar seco e 
externamente com pano úmido.</t>
  </si>
  <si>
    <t>Sistema elétrico - Reapertar os pontos de contato e fazer a limpeza dos mesmos.</t>
  </si>
  <si>
    <t>CM01-SPP-CREBB/BE</t>
  </si>
  <si>
    <t>Caixa redutora BB - TWIN DISC</t>
  </si>
  <si>
    <t>Trocador de calor - Verificação das hastes de zinco e caso mais da metade da haste esteja desgastada, efetuar a substituição.</t>
  </si>
  <si>
    <t>Caixa reversora - Trocar o óleo, substituir o filtro e limpar o filtro de sucção.</t>
  </si>
  <si>
    <t>CM01-SHI-UEH02</t>
  </si>
  <si>
    <t>Central hidráulica Munck e Guincho da âncora - NAVALSUL</t>
  </si>
  <si>
    <t>Sistema hidráulico - Inspecionar acoplamento flexível e mangueiras</t>
  </si>
  <si>
    <t>Sistema hidráulico - Inspecionar motor e válvulas de alívio.</t>
  </si>
  <si>
    <t>Sistema hidráulico - Veríficar vedações/raspadores</t>
  </si>
  <si>
    <t>CM01-SHI-UEH01</t>
  </si>
  <si>
    <t>Central hidráulica do Guincho de Pesca e Oceanográfico - NAVALSUL</t>
  </si>
  <si>
    <t>Sistema hidráulico - Limpar o filtro de ar, trocar o respiro do reservatório quando estiver "saturado".</t>
  </si>
  <si>
    <t>Sistema hidráulico - Reapertar parafusos e conexões.</t>
  </si>
  <si>
    <t>CM01-SHI-UEH03</t>
  </si>
  <si>
    <t>Central hidráulica do Leme - Dtecto</t>
  </si>
  <si>
    <t>Sistema hidráulico - Trocar o óleo e substituir o filtro (Acompanhamento com análise de óleo)</t>
  </si>
  <si>
    <t>CM01-SAA-CDA01</t>
  </si>
  <si>
    <t>Compressor de ar</t>
  </si>
  <si>
    <t>Compressor - Limpar a parte externa do equipamento com detergente neutro</t>
  </si>
  <si>
    <t>Válvula de segurança - Verificar o funcionamento da válvula de segurança</t>
  </si>
  <si>
    <t>Filtro de Ar - Remover e inspecionar o elemento filtrante do filtro de ar, em caso de obstrução, faça a substituição.</t>
  </si>
  <si>
    <t>Pressostato - Verificar o funcionamento do pressostato</t>
  </si>
  <si>
    <t>Elétrica - Inspecionar as conexões elétricas para proceder o reaperto caso necessário e verificar a integridade dos fios elétricos.</t>
  </si>
  <si>
    <t xml:space="preserve">Volante - Verificar o alinhamento da polia com volante </t>
  </si>
  <si>
    <t>Correia - Verificar o tensionamento da correia e seu estado de uso.</t>
  </si>
  <si>
    <t xml:space="preserve">Motor - Verificar o funcionamento do motor elétrico. </t>
  </si>
  <si>
    <t xml:space="preserve">CM01-SMC-GESBB </t>
  </si>
  <si>
    <t>Guincho de Espinhel - N1FLW-H-600-10.00)</t>
  </si>
  <si>
    <t>Guincho - Verificar a lubrificação dos rolamentos e buchas, barulhos ou ruídos, vibrações anormais no equipamento.</t>
  </si>
  <si>
    <t>Mensal</t>
  </si>
  <si>
    <t>Guincho - Revisar todas as conexões hidráulicas e Verificar o desgaste dos roletes do espalhador de cabo.</t>
  </si>
  <si>
    <t>Guincho - Verificar vazamentos de óleo nas caixas redutoras, verificar aperto dos parafusos do equipamento (mancais, caixa redutora e motor elétrico).</t>
  </si>
  <si>
    <t>Guincho - Verificar aperto dos parafusos do equipamento (mancais, caixa redutora e motor elétrico).</t>
  </si>
  <si>
    <t>Guincho - Verificar o funcionamento das botoeiras.</t>
  </si>
  <si>
    <t>CM01-SEL-SAOBB</t>
  </si>
  <si>
    <t>Separadora água e óleo</t>
  </si>
  <si>
    <t>Tanques - Abrir os tanques de gravidade e de absorção, a fim de verificar a presença de iodo sedimentado. Se esse for o caso, remova-os e limpe os tanques.</t>
  </si>
  <si>
    <t>Tanques - Verificar a camada interna dos tanques e pinte-os, se necessário.</t>
  </si>
  <si>
    <t>Válvula do pistão - Verificar as vedações da válvula do pistão</t>
  </si>
  <si>
    <t>Separador - Verificar a resistência e os eletrodos.</t>
  </si>
  <si>
    <t>CM01-SOC</t>
  </si>
  <si>
    <t>Sistema de óleo combustível</t>
  </si>
  <si>
    <t>Tanque - Abrir todos os tanques e analizar os níveis de corrosão das paredes</t>
  </si>
  <si>
    <t xml:space="preserve"> Inspeção termografica / Cabeçotes</t>
  </si>
  <si>
    <t>Inspeção termográfica /Bloco do motor</t>
  </si>
  <si>
    <t xml:space="preserve">Inspeção Termográfica/Bloco do motor </t>
  </si>
  <si>
    <t>Inspeção Termográfica/Cabeçotes</t>
  </si>
  <si>
    <t>CM01-SPP-CREBB</t>
  </si>
  <si>
    <t>Inspeção termográfica /Caixa reversora BB</t>
  </si>
  <si>
    <t>CM01-SPP-CREBE</t>
  </si>
  <si>
    <t>Caixa redutora BE - TWIN DISC</t>
  </si>
  <si>
    <t>Inspeção termográfica/ Caixa reversora  BE</t>
  </si>
  <si>
    <t>Inspeção de Ruído /Cabeçotes</t>
  </si>
  <si>
    <t>Inspeção de Ruído /Bloco do motor</t>
  </si>
  <si>
    <t xml:space="preserve">Inspeção de Ruído/ Reversora </t>
  </si>
  <si>
    <t>Inspeção de Ruído / Bloco do motor</t>
  </si>
  <si>
    <t>Tanque - Realizar a limpeza e pintura dos tanques (Docagem)</t>
  </si>
  <si>
    <t>Bi-Anual</t>
  </si>
  <si>
    <t>ANALISE DE ÓLELO</t>
  </si>
  <si>
    <t>Coletar amostras de óleo para análise de resíduos</t>
  </si>
  <si>
    <t>Unidade Eletro Hidráulica 01 - NavalSul</t>
  </si>
  <si>
    <t>Coletar amostras de óleo para análise de resíduos (RESERVATÓRIO)</t>
  </si>
  <si>
    <t>Unidade Eletro Hidráulica 02 - NavalSul</t>
  </si>
  <si>
    <t>Unidade Eletro Hidráulica 03 - Dtecto</t>
  </si>
  <si>
    <t>PLANO DE LUBRIFICAÇÃO A GRAXA</t>
  </si>
  <si>
    <t>CM01-SMC-AFLBB</t>
  </si>
  <si>
    <t xml:space="preserve">A - Frame Lateral </t>
  </si>
  <si>
    <t>Limpar e aplicar graxa de Lítio (Texaco Marfak MP-02) na bucha</t>
  </si>
  <si>
    <t xml:space="preserve">Limpar e substituir o filtro </t>
  </si>
  <si>
    <t>CM01-SMC-AFRBB</t>
  </si>
  <si>
    <t>A - Frame de Ré</t>
  </si>
  <si>
    <t>CM01-SMC-TREBB</t>
  </si>
  <si>
    <t>Tambor de rede</t>
  </si>
  <si>
    <t>Limpar e aplicar graxa de cálcio (Ipiranga Ipiflex li Moly 2 ) nas catracas ou travas do tambor</t>
  </si>
  <si>
    <t>CM01-SMC-GPEBB</t>
  </si>
  <si>
    <t>Guincho de pesca BB</t>
  </si>
  <si>
    <t>Limpar e aplicar graxa de lítio (Texaco Marfak MP-02) no espalhador e cilindro hidráulico</t>
  </si>
  <si>
    <t>Limpar e aplicar graxa de lítio (Texaco Marfak MP-02) na bucha</t>
  </si>
  <si>
    <t>CM01-SMC-GOCBB</t>
  </si>
  <si>
    <t>Guincho Oceanografico</t>
  </si>
  <si>
    <t>Limpar e aplicar graxa de lítio (Texaco Marfak MP-02) no espalhador</t>
  </si>
  <si>
    <t>CM01-SMC-GESBB</t>
  </si>
  <si>
    <t>Guincho de Espinhel</t>
  </si>
  <si>
    <t xml:space="preserve">Limpar e aplicar graxa de lítio (Texaco Marfak MP-02) no cilindro hidraulico </t>
  </si>
  <si>
    <t>Hh semanal Necessário Total</t>
  </si>
  <si>
    <t>Hh semanal disponível (equipe)</t>
  </si>
  <si>
    <t>Hh semanal disp. Preventiva (equipe)</t>
  </si>
  <si>
    <t>Hh semanal disp. tripulação</t>
  </si>
  <si>
    <t>Hh semanal em Backlog</t>
  </si>
  <si>
    <t>Legenda</t>
  </si>
  <si>
    <t>ítem 9</t>
  </si>
  <si>
    <t>Segundo o manuel do MCP - Pede para que a troca do líquido de arrefecimento seja feito a cada 6000 hr ou 5 anos
Já a questão da limpeza do arrefecimento não tem período específico.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</si>
</sst>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2.0"/>
      <color rgb="FF000000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color theme="1"/>
      <name val="Calibri"/>
    </font>
    <font>
      <sz val="11.0"/>
      <color rgb="FF000000"/>
      <name val="Arial"/>
    </font>
    <font>
      <sz val="12.0"/>
      <color rgb="FF000000"/>
      <name val="Calibri"/>
    </font>
    <font>
      <sz val="13.0"/>
      <color theme="1"/>
      <name val="Calibri"/>
    </font>
    <font>
      <sz val="11.0"/>
      <color theme="1"/>
      <name val="Calibri"/>
    </font>
    <font>
      <sz val="17.0"/>
      <color theme="1"/>
      <name val="Calibri"/>
    </font>
    <font>
      <sz val="14.0"/>
      <color theme="1"/>
      <name val="Calibri"/>
    </font>
    <font>
      <b/>
      <sz val="12.0"/>
      <color theme="0"/>
      <name val="Calibri"/>
    </font>
    <font>
      <sz val="12.0"/>
      <color theme="0"/>
      <name val="Calibri"/>
    </font>
    <font>
      <sz val="12.0"/>
      <color rgb="FFFFFFFF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76A5AF"/>
        <bgColor rgb="FF76A5AF"/>
      </patternFill>
    </fill>
    <fill>
      <patternFill patternType="solid">
        <fgColor rgb="FFCCCCCC"/>
        <bgColor rgb="FFCCCCCC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14" xfId="0" applyAlignment="1" applyBorder="1" applyFont="1" applyNumberFormat="1">
      <alignment horizontal="center" shrinkToFit="0" vertical="center" wrapText="1"/>
    </xf>
    <xf borderId="4" fillId="0" fontId="5" numFmtId="1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textRotation="90" vertical="center"/>
    </xf>
    <xf borderId="4" fillId="3" fontId="4" numFmtId="0" xfId="0" applyAlignment="1" applyBorder="1" applyFill="1" applyFont="1">
      <alignment horizontal="center" textRotation="90" vertical="center"/>
    </xf>
    <xf borderId="4" fillId="0" fontId="4" numFmtId="0" xfId="0" applyAlignment="1" applyBorder="1" applyFont="1">
      <alignment horizontal="center" shrinkToFit="0" textRotation="90" vertical="center" wrapText="1"/>
    </xf>
    <xf borderId="4" fillId="4" fontId="4" numFmtId="0" xfId="0" applyAlignment="1" applyBorder="1" applyFill="1" applyFont="1">
      <alignment horizontal="center" textRotation="90" vertical="center"/>
    </xf>
    <xf borderId="0" fillId="0" fontId="4" numFmtId="0" xfId="0" applyAlignment="1" applyFont="1">
      <alignment horizontal="center" textRotation="90" vertical="center"/>
    </xf>
    <xf borderId="4" fillId="3" fontId="4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vertical="center"/>
    </xf>
    <xf borderId="4" fillId="0" fontId="6" numFmtId="0" xfId="0" applyBorder="1" applyFont="1"/>
    <xf borderId="4" fillId="6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4" fillId="3" fontId="4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4" fillId="7" fontId="4" numFmtId="0" xfId="0" applyAlignment="1" applyBorder="1" applyFill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4" fillId="8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/>
    </xf>
    <xf borderId="3" fillId="5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vertical="center"/>
    </xf>
    <xf borderId="4" fillId="9" fontId="4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/>
    </xf>
    <xf borderId="7" fillId="0" fontId="10" numFmtId="0" xfId="0" applyBorder="1" applyFont="1"/>
    <xf borderId="8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shrinkToFit="0" textRotation="90" vertical="center" wrapText="1"/>
    </xf>
    <xf borderId="5" fillId="0" fontId="11" numFmtId="0" xfId="0" applyAlignment="1" applyBorder="1" applyFont="1">
      <alignment horizontal="center" shrinkToFit="0" textRotation="9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7" fillId="0" fontId="3" numFmtId="0" xfId="0" applyBorder="1" applyFont="1"/>
    <xf borderId="9" fillId="0" fontId="4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shrinkToFit="0" textRotation="9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6" fillId="11" fontId="4" numFmtId="0" xfId="0" applyAlignment="1" applyBorder="1" applyFont="1">
      <alignment horizontal="center" shrinkToFit="0" vertical="center" wrapText="1"/>
    </xf>
    <xf borderId="6" fillId="11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8" fontId="4" numFmtId="0" xfId="0" applyAlignment="1" applyBorder="1" applyFont="1">
      <alignment horizontal="center" vertical="center"/>
    </xf>
    <xf borderId="10" fillId="0" fontId="3" numFmtId="0" xfId="0" applyBorder="1" applyFont="1"/>
    <xf borderId="6" fillId="6" fontId="4" numFmtId="0" xfId="0" applyAlignment="1" applyBorder="1" applyFont="1">
      <alignment horizontal="center" vertical="center"/>
    </xf>
    <xf borderId="6" fillId="0" fontId="3" numFmtId="0" xfId="0" applyBorder="1" applyFont="1"/>
    <xf borderId="5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textRotation="90" vertical="center" wrapText="1"/>
    </xf>
    <xf borderId="4" fillId="12" fontId="4" numFmtId="0" xfId="0" applyAlignment="1" applyBorder="1" applyFill="1" applyFont="1">
      <alignment horizontal="center" shrinkToFit="0" vertical="center" wrapText="1"/>
    </xf>
    <xf borderId="7" fillId="12" fontId="4" numFmtId="0" xfId="0" applyAlignment="1" applyBorder="1" applyFont="1">
      <alignment horizontal="center" shrinkToFit="0" vertical="center" wrapText="1"/>
    </xf>
    <xf borderId="6" fillId="12" fontId="4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shrinkToFit="0" textRotation="90" vertical="center" wrapText="1"/>
    </xf>
    <xf borderId="6" fillId="7" fontId="4" numFmtId="0" xfId="0" applyAlignment="1" applyBorder="1" applyFont="1">
      <alignment horizontal="center" vertical="center"/>
    </xf>
    <xf borderId="9" fillId="2" fontId="13" numFmtId="14" xfId="0" applyAlignment="1" applyBorder="1" applyFont="1" applyNumberFormat="1">
      <alignment horizontal="center" shrinkToFit="0" vertical="center" wrapText="1"/>
    </xf>
    <xf borderId="6" fillId="2" fontId="14" numFmtId="164" xfId="0" applyAlignment="1" applyBorder="1" applyFont="1" applyNumberForma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1" fillId="2" fontId="13" numFmtId="14" xfId="0" applyAlignment="1" applyBorder="1" applyFont="1" applyNumberFormat="1">
      <alignment horizontal="center" shrinkToFit="0" vertical="center" wrapText="1"/>
    </xf>
    <xf borderId="4" fillId="2" fontId="14" numFmtId="164" xfId="0" applyAlignment="1" applyBorder="1" applyFont="1" applyNumberFormat="1">
      <alignment horizontal="center" vertical="center"/>
    </xf>
    <xf borderId="4" fillId="2" fontId="14" numFmtId="164" xfId="0" applyAlignment="1" applyBorder="1" applyFont="1" applyNumberFormat="1">
      <alignment horizontal="center" shrinkToFit="0" vertical="center" wrapText="1"/>
    </xf>
    <xf borderId="1" fillId="2" fontId="14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4" fillId="2" fontId="15" numFmtId="164" xfId="0" applyAlignment="1" applyBorder="1" applyFont="1" applyNumberFormat="1">
      <alignment horizontal="center" vertical="center"/>
    </xf>
    <xf borderId="0" fillId="0" fontId="4" numFmtId="14" xfId="0" applyAlignment="1" applyFont="1" applyNumberFormat="1">
      <alignment horizontal="center" shrinkToFit="0" vertical="center" wrapText="1"/>
    </xf>
    <xf borderId="0" fillId="0" fontId="4" numFmtId="1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4" xfId="0" applyAlignment="1" applyFont="1" applyNumberFormat="1">
      <alignment horizontal="center" vertical="center"/>
    </xf>
    <xf borderId="4" fillId="13" fontId="4" numFmtId="0" xfId="0" applyAlignment="1" applyBorder="1" applyFill="1" applyFont="1">
      <alignment horizontal="center" vertical="center"/>
    </xf>
    <xf borderId="11" fillId="9" fontId="4" numFmtId="0" xfId="0" applyAlignment="1" applyBorder="1" applyFont="1">
      <alignment horizontal="center"/>
    </xf>
    <xf borderId="0" fillId="0" fontId="4" numFmtId="0" xfId="0" applyAlignment="1" applyFont="1">
      <alignment horizontal="center" shrinkToFit="0" wrapText="1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oberd\OneDrive\Documentos\FURG\FURG\Consultorias\Pyl\Arauco\Ponta%20Grossa\C&#243;pia%20de%20Planos%20Arauco%20Ponta%20Grossa%20-%20R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os"/>
      <sheetName val="Base SC - FF"/>
      <sheetName val="Base ordens (planos)"/>
      <sheetName val="Base planos FIORI"/>
      <sheetName val="Dinâmica"/>
      <sheetName val="Matriz SC"/>
      <sheetName val="Matriz FF"/>
      <sheetName val="Matriz A B 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2" width="26.71"/>
    <col customWidth="1" min="3" max="3" width="39.57"/>
    <col customWidth="1" min="4" max="4" width="35.86"/>
    <col customWidth="1" min="5" max="5" width="21.86"/>
    <col customWidth="1" min="6" max="57" width="5.14"/>
    <col customWidth="1" min="58" max="63" width="4.71"/>
  </cols>
  <sheetData>
    <row r="1" ht="26.25" customHeight="1">
      <c r="A1" s="1"/>
      <c r="B1" s="2" t="s">
        <v>0</v>
      </c>
      <c r="BF1" s="1"/>
      <c r="BG1" s="1"/>
      <c r="BH1" s="1"/>
      <c r="BI1" s="1"/>
      <c r="BJ1" s="1"/>
      <c r="BK1" s="1" t="s">
        <v>1</v>
      </c>
    </row>
    <row r="2" ht="26.25" customHeight="1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5"/>
      <c r="BE2" s="6"/>
      <c r="BF2" s="1"/>
      <c r="BG2" s="1"/>
      <c r="BH2" s="1"/>
      <c r="BI2" s="1"/>
      <c r="BJ2" s="1"/>
      <c r="BK2" s="1"/>
    </row>
    <row r="3" ht="79.5" customHeight="1">
      <c r="A3" s="7"/>
      <c r="B3" s="8" t="s">
        <v>2</v>
      </c>
      <c r="C3" s="8" t="s">
        <v>3</v>
      </c>
      <c r="D3" s="9" t="s">
        <v>4</v>
      </c>
      <c r="E3" s="10" t="s">
        <v>5</v>
      </c>
      <c r="F3" s="11" t="s">
        <v>6</v>
      </c>
      <c r="G3" s="12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2" t="s">
        <v>14</v>
      </c>
      <c r="O3" s="12" t="s">
        <v>15</v>
      </c>
      <c r="P3" s="11" t="s">
        <v>16</v>
      </c>
      <c r="Q3" s="11" t="s">
        <v>17</v>
      </c>
      <c r="R3" s="11" t="s">
        <v>18</v>
      </c>
      <c r="S3" s="13" t="s">
        <v>19</v>
      </c>
      <c r="T3" s="12" t="s">
        <v>20</v>
      </c>
      <c r="U3" s="11" t="s">
        <v>21</v>
      </c>
      <c r="V3" s="11" t="s">
        <v>22</v>
      </c>
      <c r="W3" s="11" t="s">
        <v>23</v>
      </c>
      <c r="X3" s="11" t="s">
        <v>24</v>
      </c>
      <c r="Y3" s="11" t="s">
        <v>25</v>
      </c>
      <c r="Z3" s="11" t="s">
        <v>26</v>
      </c>
      <c r="AA3" s="11" t="s">
        <v>27</v>
      </c>
      <c r="AB3" s="11" t="s">
        <v>28</v>
      </c>
      <c r="AC3" s="11" t="s">
        <v>29</v>
      </c>
      <c r="AD3" s="11" t="s">
        <v>30</v>
      </c>
      <c r="AE3" s="14" t="s">
        <v>31</v>
      </c>
      <c r="AF3" s="11" t="s">
        <v>32</v>
      </c>
      <c r="AG3" s="11" t="s">
        <v>33</v>
      </c>
      <c r="AH3" s="11" t="s">
        <v>34</v>
      </c>
      <c r="AI3" s="11" t="s">
        <v>35</v>
      </c>
      <c r="AJ3" s="11" t="s">
        <v>36</v>
      </c>
      <c r="AK3" s="11" t="s">
        <v>37</v>
      </c>
      <c r="AL3" s="11" t="s">
        <v>38</v>
      </c>
      <c r="AM3" s="11" t="s">
        <v>39</v>
      </c>
      <c r="AN3" s="11" t="s">
        <v>40</v>
      </c>
      <c r="AO3" s="11" t="s">
        <v>41</v>
      </c>
      <c r="AP3" s="11" t="s">
        <v>42</v>
      </c>
      <c r="AQ3" s="11" t="s">
        <v>43</v>
      </c>
      <c r="AR3" s="11" t="s">
        <v>44</v>
      </c>
      <c r="AS3" s="11" t="s">
        <v>45</v>
      </c>
      <c r="AT3" s="11" t="s">
        <v>46</v>
      </c>
      <c r="AU3" s="11" t="s">
        <v>47</v>
      </c>
      <c r="AV3" s="11" t="s">
        <v>48</v>
      </c>
      <c r="AW3" s="11" t="s">
        <v>49</v>
      </c>
      <c r="AX3" s="11" t="s">
        <v>50</v>
      </c>
      <c r="AY3" s="11" t="s">
        <v>51</v>
      </c>
      <c r="AZ3" s="12" t="s">
        <v>52</v>
      </c>
      <c r="BA3" s="12" t="s">
        <v>53</v>
      </c>
      <c r="BB3" s="11" t="s">
        <v>54</v>
      </c>
      <c r="BC3" s="11" t="s">
        <v>55</v>
      </c>
      <c r="BD3" s="11" t="s">
        <v>56</v>
      </c>
      <c r="BE3" s="11" t="s">
        <v>57</v>
      </c>
      <c r="BF3" s="15"/>
      <c r="BG3" s="15"/>
      <c r="BH3" s="15"/>
      <c r="BI3" s="15"/>
      <c r="BJ3" s="15"/>
      <c r="BK3" s="15"/>
    </row>
    <row r="4" ht="30.75" customHeight="1">
      <c r="A4" s="7"/>
      <c r="B4" s="16"/>
      <c r="C4" s="16"/>
      <c r="D4" s="17"/>
      <c r="E4" s="10"/>
      <c r="F4" s="18">
        <v>1.0</v>
      </c>
      <c r="G4" s="18">
        <v>2.0</v>
      </c>
      <c r="H4" s="18">
        <v>3.0</v>
      </c>
      <c r="I4" s="18">
        <v>4.0</v>
      </c>
      <c r="J4" s="18">
        <v>5.0</v>
      </c>
      <c r="K4" s="18">
        <v>6.0</v>
      </c>
      <c r="L4" s="18">
        <v>7.0</v>
      </c>
      <c r="M4" s="18">
        <v>8.0</v>
      </c>
      <c r="N4" s="18">
        <v>9.0</v>
      </c>
      <c r="O4" s="18">
        <v>10.0</v>
      </c>
      <c r="P4" s="18">
        <v>11.0</v>
      </c>
      <c r="Q4" s="18">
        <v>12.0</v>
      </c>
      <c r="R4" s="18">
        <v>13.0</v>
      </c>
      <c r="S4" s="19">
        <v>14.0</v>
      </c>
      <c r="T4" s="18">
        <v>15.0</v>
      </c>
      <c r="U4" s="18">
        <v>16.0</v>
      </c>
      <c r="V4" s="18">
        <v>17.0</v>
      </c>
      <c r="W4" s="18">
        <v>18.0</v>
      </c>
      <c r="X4" s="18">
        <v>19.0</v>
      </c>
      <c r="Y4" s="18">
        <v>20.0</v>
      </c>
      <c r="Z4" s="18">
        <v>21.0</v>
      </c>
      <c r="AA4" s="18">
        <v>22.0</v>
      </c>
      <c r="AB4" s="18">
        <v>23.0</v>
      </c>
      <c r="AC4" s="18">
        <v>24.0</v>
      </c>
      <c r="AD4" s="18">
        <v>25.0</v>
      </c>
      <c r="AE4" s="18">
        <v>26.0</v>
      </c>
      <c r="AF4" s="18">
        <v>27.0</v>
      </c>
      <c r="AG4" s="18">
        <v>28.0</v>
      </c>
      <c r="AH4" s="18">
        <v>29.0</v>
      </c>
      <c r="AI4" s="18">
        <v>30.0</v>
      </c>
      <c r="AJ4" s="18">
        <v>31.0</v>
      </c>
      <c r="AK4" s="18">
        <v>32.0</v>
      </c>
      <c r="AL4" s="18">
        <v>33.0</v>
      </c>
      <c r="AM4" s="18">
        <v>34.0</v>
      </c>
      <c r="AN4" s="18">
        <v>35.0</v>
      </c>
      <c r="AO4" s="18">
        <v>36.0</v>
      </c>
      <c r="AP4" s="18">
        <v>37.0</v>
      </c>
      <c r="AQ4" s="18">
        <v>38.0</v>
      </c>
      <c r="AR4" s="18">
        <v>39.0</v>
      </c>
      <c r="AS4" s="18">
        <v>40.0</v>
      </c>
      <c r="AT4" s="18">
        <v>41.0</v>
      </c>
      <c r="AU4" s="18">
        <v>42.0</v>
      </c>
      <c r="AV4" s="18">
        <v>43.0</v>
      </c>
      <c r="AW4" s="18">
        <v>44.0</v>
      </c>
      <c r="AX4" s="18">
        <v>45.0</v>
      </c>
      <c r="AY4" s="18">
        <v>46.0</v>
      </c>
      <c r="AZ4" s="18">
        <v>47.0</v>
      </c>
      <c r="BA4" s="7">
        <v>48.0</v>
      </c>
      <c r="BB4" s="18">
        <v>49.0</v>
      </c>
      <c r="BC4" s="18">
        <v>50.0</v>
      </c>
      <c r="BD4" s="18">
        <v>51.0</v>
      </c>
      <c r="BE4" s="18">
        <v>52.0</v>
      </c>
      <c r="BF4" s="7"/>
      <c r="BG4" s="7"/>
      <c r="BH4" s="7"/>
      <c r="BI4" s="7"/>
      <c r="BJ4" s="7"/>
      <c r="BK4" s="7"/>
    </row>
    <row r="5">
      <c r="B5" s="19" t="s">
        <v>58</v>
      </c>
      <c r="C5" s="19" t="s">
        <v>59</v>
      </c>
      <c r="D5" s="19" t="s">
        <v>60</v>
      </c>
      <c r="E5" s="20" t="s">
        <v>61</v>
      </c>
      <c r="F5" s="18"/>
      <c r="G5" s="21"/>
      <c r="H5" s="18"/>
      <c r="I5" s="18"/>
      <c r="J5" s="18"/>
      <c r="K5" s="18"/>
      <c r="L5" s="18"/>
      <c r="M5" s="18"/>
      <c r="N5" s="22">
        <v>2.0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22">
        <v>2.0</v>
      </c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2">
        <v>2.0</v>
      </c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22">
        <v>2.0</v>
      </c>
      <c r="BB5" s="18"/>
      <c r="BC5" s="18"/>
      <c r="BD5" s="18"/>
      <c r="BE5" s="18"/>
      <c r="BF5" s="23"/>
      <c r="BG5" s="23"/>
      <c r="BH5" s="23"/>
      <c r="BI5" s="23"/>
      <c r="BJ5" s="23"/>
      <c r="BK5" s="23"/>
    </row>
    <row r="6" ht="27.0" customHeight="1">
      <c r="B6" s="24" t="s">
        <v>58</v>
      </c>
      <c r="C6" s="24" t="s">
        <v>59</v>
      </c>
      <c r="D6" s="25" t="s">
        <v>62</v>
      </c>
      <c r="E6" s="20" t="s">
        <v>63</v>
      </c>
      <c r="F6" s="18"/>
      <c r="G6" s="21"/>
      <c r="H6" s="18"/>
      <c r="I6" s="18"/>
      <c r="J6" s="18"/>
      <c r="K6" s="18"/>
      <c r="L6" s="18"/>
      <c r="M6" s="18"/>
      <c r="N6" s="22">
        <v>0.5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22">
        <v>0.5</v>
      </c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2">
        <v>0.5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22">
        <v>0.5</v>
      </c>
      <c r="BB6" s="18"/>
      <c r="BC6" s="26"/>
      <c r="BD6" s="18"/>
      <c r="BE6" s="18"/>
      <c r="BF6" s="7"/>
      <c r="BG6" s="7"/>
      <c r="BH6" s="7"/>
      <c r="BI6" s="7"/>
      <c r="BJ6" s="7"/>
      <c r="BK6" s="7"/>
    </row>
    <row r="7" ht="29.25" customHeight="1">
      <c r="B7" s="24" t="s">
        <v>58</v>
      </c>
      <c r="C7" s="24" t="s">
        <v>59</v>
      </c>
      <c r="D7" s="27" t="s">
        <v>64</v>
      </c>
      <c r="E7" s="20" t="s">
        <v>65</v>
      </c>
      <c r="F7" s="18"/>
      <c r="G7" s="21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28">
        <v>8.0</v>
      </c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26"/>
      <c r="BD7" s="18"/>
      <c r="BE7" s="18"/>
      <c r="BF7" s="7"/>
      <c r="BG7" s="7"/>
      <c r="BH7" s="7"/>
      <c r="BI7" s="7"/>
      <c r="BJ7" s="7"/>
      <c r="BK7" s="7"/>
    </row>
    <row r="8">
      <c r="B8" s="24" t="s">
        <v>58</v>
      </c>
      <c r="C8" s="24" t="s">
        <v>59</v>
      </c>
      <c r="D8" s="19" t="s">
        <v>66</v>
      </c>
      <c r="E8" s="20" t="s">
        <v>65</v>
      </c>
      <c r="F8" s="18"/>
      <c r="G8" s="21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9">
        <v>1.0</v>
      </c>
      <c r="X8" s="18"/>
      <c r="Y8" s="18"/>
      <c r="Z8" s="18"/>
      <c r="AA8" s="18"/>
      <c r="AB8" s="18"/>
      <c r="AC8" s="18"/>
      <c r="AD8" s="18"/>
      <c r="AE8" s="18"/>
      <c r="AF8" s="18"/>
      <c r="AG8" s="30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30"/>
      <c r="AZ8" s="18"/>
      <c r="BA8" s="18"/>
      <c r="BB8" s="18"/>
      <c r="BC8" s="26"/>
      <c r="BD8" s="18"/>
      <c r="BE8" s="18"/>
      <c r="BF8" s="7"/>
      <c r="BG8" s="7"/>
      <c r="BH8" s="7"/>
      <c r="BI8" s="7"/>
      <c r="BJ8" s="7"/>
      <c r="BK8" s="7"/>
    </row>
    <row r="9">
      <c r="B9" s="24" t="s">
        <v>58</v>
      </c>
      <c r="C9" s="24" t="s">
        <v>59</v>
      </c>
      <c r="D9" s="19" t="s">
        <v>67</v>
      </c>
      <c r="E9" s="20" t="s">
        <v>65</v>
      </c>
      <c r="F9" s="18"/>
      <c r="G9" s="21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28">
        <v>1.0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26"/>
      <c r="BD9" s="18"/>
      <c r="BE9" s="18"/>
      <c r="BF9" s="7"/>
      <c r="BG9" s="7"/>
      <c r="BH9" s="7"/>
      <c r="BI9" s="7"/>
      <c r="BJ9" s="7"/>
      <c r="BK9" s="7"/>
    </row>
    <row r="10">
      <c r="B10" s="24" t="s">
        <v>58</v>
      </c>
      <c r="C10" s="24" t="s">
        <v>59</v>
      </c>
      <c r="D10" s="19" t="s">
        <v>68</v>
      </c>
      <c r="E10" s="20" t="s">
        <v>63</v>
      </c>
      <c r="F10" s="18"/>
      <c r="G10" s="21"/>
      <c r="H10" s="18"/>
      <c r="I10" s="18"/>
      <c r="J10" s="18"/>
      <c r="K10" s="18"/>
      <c r="L10" s="18"/>
      <c r="M10" s="18"/>
      <c r="N10" s="22">
        <v>1.0</v>
      </c>
      <c r="O10" s="18"/>
      <c r="P10" s="18"/>
      <c r="Q10" s="18"/>
      <c r="R10" s="18"/>
      <c r="S10" s="19"/>
      <c r="T10" s="18"/>
      <c r="U10" s="18"/>
      <c r="V10" s="18"/>
      <c r="W10" s="18"/>
      <c r="X10" s="18"/>
      <c r="Y10" s="18"/>
      <c r="Z10" s="18"/>
      <c r="AA10" s="18"/>
      <c r="AB10" s="18"/>
      <c r="AC10" s="22">
        <v>1.0</v>
      </c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22">
        <v>1.0</v>
      </c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22">
        <v>1.0</v>
      </c>
      <c r="BB10" s="18"/>
      <c r="BC10" s="26"/>
      <c r="BD10" s="18"/>
      <c r="BE10" s="18"/>
      <c r="BF10" s="7"/>
      <c r="BG10" s="7"/>
      <c r="BH10" s="7"/>
      <c r="BI10" s="7"/>
      <c r="BJ10" s="7"/>
      <c r="BK10" s="7"/>
    </row>
    <row r="11">
      <c r="B11" s="19" t="s">
        <v>58</v>
      </c>
      <c r="C11" s="19" t="s">
        <v>59</v>
      </c>
      <c r="D11" s="19" t="s">
        <v>69</v>
      </c>
      <c r="E11" s="18" t="s">
        <v>70</v>
      </c>
      <c r="F11" s="18"/>
      <c r="G11" s="21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26"/>
      <c r="BD11" s="18"/>
      <c r="BE11" s="18"/>
      <c r="BF11" s="7"/>
      <c r="BG11" s="7"/>
      <c r="BH11" s="7"/>
      <c r="BI11" s="7"/>
      <c r="BJ11" s="7"/>
      <c r="BK11" s="7"/>
    </row>
    <row r="12">
      <c r="A12" s="7"/>
      <c r="B12" s="24" t="s">
        <v>58</v>
      </c>
      <c r="C12" s="24" t="s">
        <v>59</v>
      </c>
      <c r="D12" s="31" t="s">
        <v>71</v>
      </c>
      <c r="E12" s="20" t="s">
        <v>72</v>
      </c>
      <c r="F12" s="18"/>
      <c r="G12" s="21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9"/>
      <c r="T12" s="18"/>
      <c r="U12" s="18"/>
      <c r="V12" s="18"/>
      <c r="W12" s="18"/>
      <c r="X12" s="18"/>
      <c r="Y12" s="18"/>
      <c r="Z12" s="18"/>
      <c r="AA12" s="32">
        <v>1.0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32">
        <v>1.0</v>
      </c>
      <c r="BC12" s="18"/>
      <c r="BD12" s="18"/>
      <c r="BE12" s="18"/>
      <c r="BF12" s="7"/>
      <c r="BG12" s="7"/>
      <c r="BH12" s="7"/>
      <c r="BI12" s="7"/>
      <c r="BJ12" s="7"/>
      <c r="BK12" s="7"/>
    </row>
    <row r="13">
      <c r="A13" s="7"/>
      <c r="B13" s="24" t="s">
        <v>58</v>
      </c>
      <c r="C13" s="33" t="s">
        <v>59</v>
      </c>
      <c r="D13" s="34" t="s">
        <v>73</v>
      </c>
      <c r="E13" s="35" t="s">
        <v>63</v>
      </c>
      <c r="F13" s="18"/>
      <c r="G13" s="21"/>
      <c r="H13" s="18"/>
      <c r="I13" s="18"/>
      <c r="J13" s="18"/>
      <c r="K13" s="18"/>
      <c r="L13" s="18"/>
      <c r="M13" s="18"/>
      <c r="N13" s="22">
        <v>4.0</v>
      </c>
      <c r="O13" s="18"/>
      <c r="P13" s="18"/>
      <c r="Q13" s="18"/>
      <c r="R13" s="18"/>
      <c r="S13" s="19"/>
      <c r="T13" s="18"/>
      <c r="U13" s="18"/>
      <c r="V13" s="18"/>
      <c r="W13" s="18"/>
      <c r="X13" s="18"/>
      <c r="Y13" s="18"/>
      <c r="Z13" s="18"/>
      <c r="AA13" s="18"/>
      <c r="AB13" s="18"/>
      <c r="AC13" s="22">
        <v>4.0</v>
      </c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22">
        <v>4.0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22">
        <v>4.0</v>
      </c>
      <c r="BB13" s="18"/>
      <c r="BC13" s="18"/>
      <c r="BD13" s="18"/>
      <c r="BE13" s="18"/>
      <c r="BF13" s="7"/>
      <c r="BG13" s="7"/>
      <c r="BH13" s="7"/>
      <c r="BI13" s="7"/>
      <c r="BJ13" s="7"/>
      <c r="BK13" s="7"/>
    </row>
    <row r="14" ht="22.5" customHeight="1">
      <c r="A14" s="36"/>
      <c r="B14" s="19" t="s">
        <v>74</v>
      </c>
      <c r="C14" s="19" t="s">
        <v>75</v>
      </c>
      <c r="D14" s="37" t="s">
        <v>76</v>
      </c>
      <c r="E14" s="38" t="s">
        <v>77</v>
      </c>
      <c r="F14" s="18"/>
      <c r="G14" s="21"/>
      <c r="H14" s="18"/>
      <c r="I14" s="18"/>
      <c r="J14" s="18"/>
      <c r="K14" s="18"/>
      <c r="L14" s="18"/>
      <c r="M14" s="18"/>
      <c r="N14" s="22">
        <v>2.0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22">
        <v>2.0</v>
      </c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22">
        <v>2.0</v>
      </c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22">
        <v>2.0</v>
      </c>
      <c r="BB14" s="18"/>
      <c r="BC14" s="18"/>
      <c r="BD14" s="18"/>
      <c r="BE14" s="18"/>
      <c r="BF14" s="7"/>
      <c r="BG14" s="7"/>
      <c r="BH14" s="7"/>
      <c r="BI14" s="7"/>
      <c r="BJ14" s="7"/>
      <c r="BK14" s="7"/>
    </row>
    <row r="15">
      <c r="A15" s="36"/>
      <c r="B15" s="19" t="s">
        <v>74</v>
      </c>
      <c r="C15" s="19" t="s">
        <v>75</v>
      </c>
      <c r="D15" s="19" t="s">
        <v>78</v>
      </c>
      <c r="E15" s="20" t="s">
        <v>79</v>
      </c>
      <c r="F15" s="18"/>
      <c r="G15" s="21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32">
        <v>1.0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32">
        <v>1.0</v>
      </c>
      <c r="BC15" s="18"/>
      <c r="BD15" s="18"/>
      <c r="BE15" s="18"/>
      <c r="BF15" s="7"/>
      <c r="BG15" s="7"/>
      <c r="BH15" s="7"/>
      <c r="BI15" s="7"/>
      <c r="BJ15" s="7"/>
      <c r="BK15" s="7"/>
    </row>
    <row r="16">
      <c r="A16" s="36"/>
      <c r="B16" s="19" t="s">
        <v>74</v>
      </c>
      <c r="C16" s="19" t="s">
        <v>75</v>
      </c>
      <c r="D16" s="19" t="s">
        <v>80</v>
      </c>
      <c r="E16" s="20" t="s">
        <v>72</v>
      </c>
      <c r="F16" s="18"/>
      <c r="G16" s="2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32">
        <v>0.5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32">
        <v>0.5</v>
      </c>
      <c r="BC16" s="18"/>
      <c r="BD16" s="18"/>
      <c r="BE16" s="18"/>
      <c r="BF16" s="7"/>
      <c r="BG16" s="7"/>
      <c r="BH16" s="7"/>
      <c r="BI16" s="7"/>
      <c r="BJ16" s="7"/>
      <c r="BK16" s="7"/>
    </row>
    <row r="17" ht="22.5" customHeight="1">
      <c r="A17" s="36"/>
      <c r="B17" s="19" t="s">
        <v>74</v>
      </c>
      <c r="C17" s="19" t="s">
        <v>75</v>
      </c>
      <c r="D17" s="19" t="s">
        <v>81</v>
      </c>
      <c r="E17" s="20" t="s">
        <v>65</v>
      </c>
      <c r="F17" s="18"/>
      <c r="G17" s="21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28">
        <v>0.5</v>
      </c>
      <c r="BC17" s="18"/>
      <c r="BD17" s="18"/>
      <c r="BE17" s="18"/>
      <c r="BF17" s="23"/>
      <c r="BG17" s="23"/>
      <c r="BH17" s="23"/>
      <c r="BI17" s="23"/>
      <c r="BJ17" s="23"/>
      <c r="BK17" s="23"/>
    </row>
    <row r="18">
      <c r="A18" s="36"/>
      <c r="B18" s="19" t="s">
        <v>74</v>
      </c>
      <c r="C18" s="19" t="s">
        <v>75</v>
      </c>
      <c r="D18" s="19" t="s">
        <v>82</v>
      </c>
      <c r="E18" s="20" t="s">
        <v>72</v>
      </c>
      <c r="F18" s="18"/>
      <c r="G18" s="2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32">
        <v>0.5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32">
        <v>0.5</v>
      </c>
      <c r="BC18" s="18"/>
      <c r="BD18" s="18"/>
      <c r="BE18" s="18"/>
      <c r="BF18" s="23"/>
      <c r="BG18" s="23"/>
      <c r="BH18" s="23"/>
      <c r="BI18" s="23"/>
      <c r="BJ18" s="23"/>
      <c r="BK18" s="23"/>
    </row>
    <row r="19">
      <c r="A19" s="36"/>
      <c r="B19" s="19" t="s">
        <v>74</v>
      </c>
      <c r="C19" s="19" t="s">
        <v>75</v>
      </c>
      <c r="D19" s="19" t="s">
        <v>83</v>
      </c>
      <c r="E19" s="20" t="s">
        <v>72</v>
      </c>
      <c r="F19" s="18"/>
      <c r="G19" s="21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32">
        <v>1.0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32">
        <v>1.0</v>
      </c>
      <c r="BC19" s="18"/>
      <c r="BD19" s="18"/>
      <c r="BE19" s="18"/>
      <c r="BF19" s="23"/>
      <c r="BG19" s="23"/>
      <c r="BH19" s="23"/>
      <c r="BI19" s="23"/>
      <c r="BJ19" s="23"/>
      <c r="BK19" s="23"/>
    </row>
    <row r="20" ht="22.5" customHeight="1">
      <c r="A20" s="36"/>
      <c r="B20" s="19" t="s">
        <v>74</v>
      </c>
      <c r="C20" s="19" t="s">
        <v>75</v>
      </c>
      <c r="D20" s="19" t="s">
        <v>84</v>
      </c>
      <c r="E20" s="20" t="s">
        <v>72</v>
      </c>
      <c r="F20" s="18"/>
      <c r="G20" s="21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32">
        <v>1.0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32">
        <v>1.0</v>
      </c>
      <c r="BC20" s="18"/>
      <c r="BD20" s="18"/>
      <c r="BE20" s="18"/>
      <c r="BF20" s="7"/>
      <c r="BG20" s="7"/>
      <c r="BH20" s="7"/>
      <c r="BI20" s="7"/>
      <c r="BJ20" s="23"/>
      <c r="BK20" s="23"/>
    </row>
    <row r="21">
      <c r="A21" s="36"/>
      <c r="B21" s="19" t="s">
        <v>74</v>
      </c>
      <c r="C21" s="19" t="s">
        <v>75</v>
      </c>
      <c r="D21" s="19" t="s">
        <v>85</v>
      </c>
      <c r="E21" s="20" t="s">
        <v>72</v>
      </c>
      <c r="F21" s="18"/>
      <c r="G21" s="21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32">
        <v>0.5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32">
        <v>0.5</v>
      </c>
      <c r="BC21" s="18"/>
      <c r="BD21" s="18"/>
      <c r="BE21" s="18"/>
      <c r="BF21" s="7"/>
      <c r="BG21" s="7"/>
      <c r="BH21" s="7"/>
      <c r="BI21" s="7"/>
      <c r="BJ21" s="23"/>
      <c r="BK21" s="23"/>
    </row>
    <row r="22">
      <c r="A22" s="36"/>
      <c r="B22" s="19" t="s">
        <v>74</v>
      </c>
      <c r="C22" s="19" t="s">
        <v>75</v>
      </c>
      <c r="D22" s="19" t="s">
        <v>86</v>
      </c>
      <c r="E22" s="20" t="s">
        <v>65</v>
      </c>
      <c r="F22" s="18"/>
      <c r="G22" s="21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28">
        <v>4.0</v>
      </c>
      <c r="BC22" s="18"/>
      <c r="BD22" s="18"/>
      <c r="BE22" s="18"/>
      <c r="BF22" s="7"/>
      <c r="BG22" s="7"/>
      <c r="BH22" s="7"/>
      <c r="BI22" s="7"/>
      <c r="BJ22" s="7"/>
      <c r="BK22" s="7"/>
    </row>
    <row r="23" ht="22.5" customHeight="1">
      <c r="A23" s="36"/>
      <c r="B23" s="19" t="s">
        <v>74</v>
      </c>
      <c r="C23" s="19" t="s">
        <v>75</v>
      </c>
      <c r="D23" s="19" t="s">
        <v>87</v>
      </c>
      <c r="E23" s="20" t="s">
        <v>65</v>
      </c>
      <c r="F23" s="18"/>
      <c r="G23" s="2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9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28">
        <v>0.5</v>
      </c>
      <c r="BC23" s="18"/>
      <c r="BD23" s="18"/>
      <c r="BE23" s="18"/>
      <c r="BF23" s="7"/>
      <c r="BG23" s="7"/>
      <c r="BH23" s="7"/>
      <c r="BI23" s="7"/>
      <c r="BJ23" s="7"/>
      <c r="BK23" s="7"/>
    </row>
    <row r="24" ht="22.5" customHeight="1">
      <c r="A24" s="36"/>
      <c r="B24" s="19" t="s">
        <v>74</v>
      </c>
      <c r="C24" s="19" t="s">
        <v>75</v>
      </c>
      <c r="D24" s="19" t="s">
        <v>71</v>
      </c>
      <c r="E24" s="20" t="s">
        <v>72</v>
      </c>
      <c r="F24" s="18"/>
      <c r="G24" s="21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T24" s="18"/>
      <c r="U24" s="18"/>
      <c r="V24" s="18"/>
      <c r="W24" s="18"/>
      <c r="X24" s="18"/>
      <c r="Y24" s="18"/>
      <c r="Z24" s="18"/>
      <c r="AA24" s="32">
        <v>4.0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32">
        <v>4.0</v>
      </c>
      <c r="BC24" s="18"/>
      <c r="BD24" s="18"/>
      <c r="BE24" s="18"/>
      <c r="BF24" s="7"/>
      <c r="BG24" s="7"/>
      <c r="BH24" s="7"/>
      <c r="BI24" s="7"/>
      <c r="BJ24" s="7"/>
      <c r="BK24" s="7"/>
    </row>
    <row r="25" ht="22.5" customHeight="1">
      <c r="A25" s="36"/>
      <c r="B25" s="19" t="s">
        <v>74</v>
      </c>
      <c r="C25" s="19" t="s">
        <v>75</v>
      </c>
      <c r="D25" s="19" t="s">
        <v>88</v>
      </c>
      <c r="E25" s="20" t="s">
        <v>65</v>
      </c>
      <c r="F25" s="18"/>
      <c r="G25" s="21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9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28">
        <v>4.0</v>
      </c>
      <c r="BC25" s="18"/>
      <c r="BD25" s="18"/>
      <c r="BE25" s="18"/>
      <c r="BF25" s="7"/>
      <c r="BG25" s="7"/>
      <c r="BH25" s="7"/>
      <c r="BI25" s="7"/>
      <c r="BJ25" s="7"/>
      <c r="BK25" s="7"/>
    </row>
    <row r="26">
      <c r="A26" s="36"/>
      <c r="B26" s="19" t="s">
        <v>74</v>
      </c>
      <c r="C26" s="19" t="s">
        <v>75</v>
      </c>
      <c r="D26" s="19" t="s">
        <v>89</v>
      </c>
      <c r="E26" s="20" t="s">
        <v>65</v>
      </c>
      <c r="F26" s="18"/>
      <c r="G26" s="21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9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28">
        <v>1.0</v>
      </c>
      <c r="BC26" s="18"/>
      <c r="BD26" s="18"/>
      <c r="BE26" s="18"/>
      <c r="BF26" s="7"/>
      <c r="BG26" s="7"/>
      <c r="BH26" s="7"/>
      <c r="BI26" s="7"/>
      <c r="BJ26" s="7"/>
      <c r="BK26" s="7"/>
    </row>
    <row r="27">
      <c r="A27" s="36"/>
      <c r="B27" s="19" t="s">
        <v>74</v>
      </c>
      <c r="C27" s="19" t="s">
        <v>75</v>
      </c>
      <c r="D27" s="19" t="s">
        <v>90</v>
      </c>
      <c r="E27" s="20" t="s">
        <v>65</v>
      </c>
      <c r="F27" s="18"/>
      <c r="G27" s="21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9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28"/>
      <c r="BC27" s="18"/>
      <c r="BD27" s="18"/>
      <c r="BE27" s="18"/>
      <c r="BF27" s="7"/>
      <c r="BG27" s="7"/>
      <c r="BH27" s="7"/>
      <c r="BI27" s="7"/>
      <c r="BJ27" s="7"/>
      <c r="BK27" s="7"/>
    </row>
    <row r="28">
      <c r="A28" s="36"/>
      <c r="B28" s="19" t="s">
        <v>74</v>
      </c>
      <c r="C28" s="19" t="s">
        <v>75</v>
      </c>
      <c r="D28" s="19" t="s">
        <v>91</v>
      </c>
      <c r="E28" s="20" t="s">
        <v>92</v>
      </c>
      <c r="F28" s="18"/>
      <c r="G28" s="21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28">
        <v>4.0</v>
      </c>
      <c r="BC28" s="18"/>
      <c r="BD28" s="18"/>
      <c r="BE28" s="18"/>
      <c r="BF28" s="7"/>
      <c r="BG28" s="7"/>
      <c r="BH28" s="7"/>
      <c r="BI28" s="7"/>
      <c r="BJ28" s="7"/>
      <c r="BK28" s="7"/>
    </row>
    <row r="29" ht="86.25" customHeight="1">
      <c r="A29" s="36"/>
      <c r="B29" s="19" t="s">
        <v>74</v>
      </c>
      <c r="C29" s="19" t="s">
        <v>75</v>
      </c>
      <c r="D29" s="19" t="s">
        <v>93</v>
      </c>
      <c r="E29" s="20" t="s">
        <v>92</v>
      </c>
      <c r="F29" s="18"/>
      <c r="G29" s="21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9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28">
        <v>4.0</v>
      </c>
      <c r="BC29" s="18"/>
      <c r="BD29" s="18"/>
      <c r="BE29" s="18"/>
      <c r="BF29" s="7"/>
      <c r="BG29" s="7"/>
      <c r="BH29" s="7"/>
      <c r="BI29" s="7"/>
      <c r="BJ29" s="7"/>
      <c r="BK29" s="7"/>
    </row>
    <row r="30" ht="22.5" customHeight="1">
      <c r="A30" s="36"/>
      <c r="B30" s="19" t="s">
        <v>94</v>
      </c>
      <c r="C30" s="19" t="s">
        <v>95</v>
      </c>
      <c r="D30" s="19" t="s">
        <v>96</v>
      </c>
      <c r="E30" s="20" t="s">
        <v>97</v>
      </c>
      <c r="F30" s="18"/>
      <c r="G30" s="21"/>
      <c r="H30" s="18"/>
      <c r="I30" s="18"/>
      <c r="J30" s="18"/>
      <c r="K30" s="39">
        <v>0.2</v>
      </c>
      <c r="L30" s="18"/>
      <c r="M30" s="18"/>
      <c r="N30" s="18"/>
      <c r="O30" s="18"/>
      <c r="P30" s="18"/>
      <c r="Q30" s="18"/>
      <c r="R30" s="18"/>
      <c r="S30" s="39">
        <v>0.2</v>
      </c>
      <c r="T30" s="18"/>
      <c r="U30" s="18"/>
      <c r="V30" s="18"/>
      <c r="W30" s="18"/>
      <c r="X30" s="18"/>
      <c r="Y30" s="18"/>
      <c r="Z30" s="18"/>
      <c r="AA30" s="39">
        <v>0.2</v>
      </c>
      <c r="AB30" s="18"/>
      <c r="AC30" s="18"/>
      <c r="AD30" s="18"/>
      <c r="AE30" s="18"/>
      <c r="AF30" s="19"/>
      <c r="AG30" s="18"/>
      <c r="AH30" s="18"/>
      <c r="AI30" s="39">
        <v>0.2</v>
      </c>
      <c r="AJ30" s="18"/>
      <c r="AK30" s="18"/>
      <c r="AL30" s="18"/>
      <c r="AM30" s="18"/>
      <c r="AN30" s="18"/>
      <c r="AO30" s="19"/>
      <c r="AP30" s="18"/>
      <c r="AQ30" s="39">
        <v>0.2</v>
      </c>
      <c r="AR30" s="18"/>
      <c r="AS30" s="18"/>
      <c r="AT30" s="18"/>
      <c r="AU30" s="18"/>
      <c r="AV30" s="18"/>
      <c r="AW30" s="18"/>
      <c r="AX30" s="18"/>
      <c r="AY30" s="39">
        <v>0.2</v>
      </c>
      <c r="AZ30" s="18"/>
      <c r="BA30" s="19"/>
      <c r="BB30" s="18"/>
      <c r="BC30" s="18"/>
      <c r="BD30" s="18"/>
      <c r="BE30" s="18"/>
      <c r="BF30" s="7"/>
      <c r="BG30" s="7"/>
      <c r="BH30" s="7"/>
      <c r="BI30" s="7"/>
      <c r="BJ30" s="7"/>
      <c r="BK30" s="7"/>
    </row>
    <row r="31" ht="22.5" customHeight="1">
      <c r="A31" s="36"/>
      <c r="B31" s="19" t="s">
        <v>94</v>
      </c>
      <c r="C31" s="19" t="s">
        <v>95</v>
      </c>
      <c r="D31" s="19" t="s">
        <v>98</v>
      </c>
      <c r="E31" s="20" t="s">
        <v>63</v>
      </c>
      <c r="F31" s="18"/>
      <c r="G31" s="21"/>
      <c r="H31" s="18"/>
      <c r="I31" s="18"/>
      <c r="J31" s="18"/>
      <c r="K31" s="18"/>
      <c r="L31" s="18"/>
      <c r="M31" s="18"/>
      <c r="N31" s="18"/>
      <c r="O31" s="22">
        <v>0.2</v>
      </c>
      <c r="P31" s="18"/>
      <c r="Q31" s="18"/>
      <c r="R31" s="18"/>
      <c r="S31" s="19"/>
      <c r="T31" s="18"/>
      <c r="U31" s="18"/>
      <c r="V31" s="18"/>
      <c r="W31" s="18"/>
      <c r="X31" s="18"/>
      <c r="Y31" s="18"/>
      <c r="Z31" s="18"/>
      <c r="AA31" s="18"/>
      <c r="AB31" s="18"/>
      <c r="AC31" s="22">
        <v>0.2</v>
      </c>
      <c r="AD31" s="18"/>
      <c r="AE31" s="18"/>
      <c r="AF31" s="19"/>
      <c r="AG31" s="18"/>
      <c r="AH31" s="18"/>
      <c r="AI31" s="18"/>
      <c r="AJ31" s="18"/>
      <c r="AK31" s="18"/>
      <c r="AL31" s="18"/>
      <c r="AM31" s="18"/>
      <c r="AN31" s="18"/>
      <c r="AO31" s="19"/>
      <c r="AP31" s="18"/>
      <c r="AQ31" s="22">
        <v>0.2</v>
      </c>
      <c r="AR31" s="18"/>
      <c r="AS31" s="18"/>
      <c r="AT31" s="18"/>
      <c r="AU31" s="18"/>
      <c r="AV31" s="18"/>
      <c r="AW31" s="18"/>
      <c r="AX31" s="18"/>
      <c r="AY31" s="18"/>
      <c r="AZ31" s="18"/>
      <c r="BA31" s="19"/>
      <c r="BB31" s="18"/>
      <c r="BC31" s="18"/>
      <c r="BD31" s="18"/>
      <c r="BE31" s="22">
        <v>0.2</v>
      </c>
      <c r="BF31" s="7"/>
      <c r="BG31" s="7"/>
      <c r="BH31" s="7"/>
      <c r="BI31" s="7"/>
      <c r="BJ31" s="7"/>
      <c r="BK31" s="7"/>
    </row>
    <row r="32" ht="22.5" customHeight="1">
      <c r="A32" s="36"/>
      <c r="B32" s="19" t="s">
        <v>94</v>
      </c>
      <c r="C32" s="19" t="s">
        <v>95</v>
      </c>
      <c r="D32" s="19" t="s">
        <v>99</v>
      </c>
      <c r="E32" s="20" t="s">
        <v>63</v>
      </c>
      <c r="F32" s="18"/>
      <c r="G32" s="21"/>
      <c r="H32" s="18"/>
      <c r="I32" s="18"/>
      <c r="J32" s="18"/>
      <c r="K32" s="18"/>
      <c r="L32" s="18"/>
      <c r="M32" s="18"/>
      <c r="N32" s="18"/>
      <c r="O32" s="22">
        <v>0.3</v>
      </c>
      <c r="P32" s="18"/>
      <c r="Q32" s="18"/>
      <c r="R32" s="18"/>
      <c r="S32" s="19"/>
      <c r="T32" s="18"/>
      <c r="U32" s="18"/>
      <c r="V32" s="18"/>
      <c r="W32" s="18"/>
      <c r="X32" s="18"/>
      <c r="Y32" s="18"/>
      <c r="Z32" s="18"/>
      <c r="AA32" s="18"/>
      <c r="AB32" s="18"/>
      <c r="AC32" s="22">
        <v>0.3</v>
      </c>
      <c r="AD32" s="18"/>
      <c r="AE32" s="18"/>
      <c r="AF32" s="19"/>
      <c r="AG32" s="18"/>
      <c r="AH32" s="18"/>
      <c r="AI32" s="18"/>
      <c r="AJ32" s="18"/>
      <c r="AK32" s="18"/>
      <c r="AL32" s="18"/>
      <c r="AM32" s="18"/>
      <c r="AN32" s="18"/>
      <c r="AO32" s="19"/>
      <c r="AP32" s="18"/>
      <c r="AQ32" s="22">
        <v>0.3</v>
      </c>
      <c r="AR32" s="18"/>
      <c r="AS32" s="18"/>
      <c r="AT32" s="18"/>
      <c r="AU32" s="18"/>
      <c r="AV32" s="18"/>
      <c r="AW32" s="18"/>
      <c r="AX32" s="18"/>
      <c r="AY32" s="18"/>
      <c r="AZ32" s="18"/>
      <c r="BA32" s="19"/>
      <c r="BB32" s="18"/>
      <c r="BC32" s="18"/>
      <c r="BD32" s="18"/>
      <c r="BE32" s="22">
        <v>0.3</v>
      </c>
      <c r="BF32" s="7"/>
      <c r="BG32" s="7"/>
      <c r="BH32" s="7"/>
      <c r="BI32" s="7"/>
      <c r="BJ32" s="7"/>
      <c r="BK32" s="7"/>
    </row>
    <row r="33" ht="22.5" customHeight="1">
      <c r="A33" s="36"/>
      <c r="B33" s="19" t="s">
        <v>94</v>
      </c>
      <c r="C33" s="19" t="s">
        <v>95</v>
      </c>
      <c r="D33" s="19" t="s">
        <v>100</v>
      </c>
      <c r="E33" s="18" t="s">
        <v>63</v>
      </c>
      <c r="F33" s="18"/>
      <c r="G33" s="21"/>
      <c r="H33" s="18"/>
      <c r="I33" s="18"/>
      <c r="J33" s="18"/>
      <c r="K33" s="18"/>
      <c r="L33" s="18"/>
      <c r="M33" s="18"/>
      <c r="N33" s="18"/>
      <c r="O33" s="22">
        <v>0.2</v>
      </c>
      <c r="P33" s="18"/>
      <c r="Q33" s="18"/>
      <c r="R33" s="19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22">
        <v>0.2</v>
      </c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22">
        <v>0.2</v>
      </c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22">
        <v>0.2</v>
      </c>
      <c r="BF33" s="7"/>
      <c r="BG33" s="7"/>
      <c r="BH33" s="7"/>
      <c r="BI33" s="7"/>
      <c r="BJ33" s="7"/>
      <c r="BK33" s="7"/>
    </row>
    <row r="34" ht="22.5" customHeight="1">
      <c r="A34" s="36"/>
      <c r="B34" s="19" t="s">
        <v>94</v>
      </c>
      <c r="C34" s="19" t="s">
        <v>95</v>
      </c>
      <c r="D34" s="19" t="s">
        <v>101</v>
      </c>
      <c r="E34" s="20" t="s">
        <v>72</v>
      </c>
      <c r="F34" s="18"/>
      <c r="G34" s="21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32">
        <v>0.2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32">
        <v>0.2</v>
      </c>
      <c r="BF34" s="7"/>
      <c r="BG34" s="7"/>
      <c r="BH34" s="7"/>
      <c r="BI34" s="7"/>
      <c r="BJ34" s="7"/>
      <c r="BK34" s="7"/>
    </row>
    <row r="35">
      <c r="A35" s="36"/>
      <c r="B35" s="19" t="s">
        <v>102</v>
      </c>
      <c r="C35" s="19" t="s">
        <v>103</v>
      </c>
      <c r="D35" s="19" t="s">
        <v>104</v>
      </c>
      <c r="E35" s="20" t="s">
        <v>63</v>
      </c>
      <c r="F35" s="18"/>
      <c r="G35" s="21"/>
      <c r="H35" s="18"/>
      <c r="I35" s="18"/>
      <c r="J35" s="18"/>
      <c r="K35" s="18"/>
      <c r="L35" s="18"/>
      <c r="M35" s="18"/>
      <c r="N35" s="18"/>
      <c r="O35" s="22">
        <v>0.35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22">
        <v>0.35</v>
      </c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22">
        <v>0.35</v>
      </c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22">
        <v>0.35</v>
      </c>
      <c r="BF35" s="7"/>
      <c r="BG35" s="7"/>
      <c r="BH35" s="7"/>
      <c r="BI35" s="7"/>
      <c r="BJ35" s="7"/>
      <c r="BK35" s="7"/>
    </row>
    <row r="36">
      <c r="A36" s="36"/>
      <c r="B36" s="19" t="s">
        <v>102</v>
      </c>
      <c r="C36" s="19" t="s">
        <v>103</v>
      </c>
      <c r="D36" s="19" t="s">
        <v>105</v>
      </c>
      <c r="E36" s="20" t="s">
        <v>63</v>
      </c>
      <c r="F36" s="18"/>
      <c r="G36" s="21"/>
      <c r="H36" s="18"/>
      <c r="I36" s="18"/>
      <c r="J36" s="18"/>
      <c r="K36" s="18"/>
      <c r="L36" s="18"/>
      <c r="M36" s="18"/>
      <c r="N36" s="18"/>
      <c r="O36" s="22">
        <v>0.3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22">
        <v>0.3</v>
      </c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22">
        <v>0.3</v>
      </c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22">
        <v>0.3</v>
      </c>
      <c r="BF36" s="7"/>
      <c r="BG36" s="7"/>
      <c r="BH36" s="7"/>
      <c r="BI36" s="7"/>
      <c r="BJ36" s="7"/>
      <c r="BK36" s="7"/>
    </row>
    <row r="37" ht="22.5" customHeight="1">
      <c r="A37" s="36"/>
      <c r="B37" s="19" t="s">
        <v>102</v>
      </c>
      <c r="C37" s="19" t="s">
        <v>103</v>
      </c>
      <c r="D37" s="19" t="s">
        <v>106</v>
      </c>
      <c r="E37" s="20" t="s">
        <v>72</v>
      </c>
      <c r="F37" s="18"/>
      <c r="G37" s="21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32">
        <v>0.2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32">
        <v>0.2</v>
      </c>
      <c r="BF37" s="7"/>
      <c r="BG37" s="7"/>
      <c r="BH37" s="7"/>
      <c r="BI37" s="7"/>
      <c r="BJ37" s="7"/>
      <c r="BK37" s="7"/>
    </row>
    <row r="38">
      <c r="A38" s="36"/>
      <c r="B38" s="19" t="s">
        <v>107</v>
      </c>
      <c r="C38" s="19" t="s">
        <v>108</v>
      </c>
      <c r="D38" s="19" t="s">
        <v>109</v>
      </c>
      <c r="E38" s="20" t="s">
        <v>63</v>
      </c>
      <c r="F38" s="18"/>
      <c r="G38" s="21"/>
      <c r="H38" s="18"/>
      <c r="I38" s="18"/>
      <c r="J38" s="18"/>
      <c r="K38" s="18"/>
      <c r="L38" s="18"/>
      <c r="M38" s="18"/>
      <c r="N38" s="18"/>
      <c r="O38" s="22">
        <v>0.2</v>
      </c>
      <c r="P38" s="18"/>
      <c r="Q38" s="18"/>
      <c r="R38" s="18"/>
      <c r="S38" s="19"/>
      <c r="T38" s="18"/>
      <c r="U38" s="18"/>
      <c r="V38" s="18"/>
      <c r="W38" s="18"/>
      <c r="X38" s="18"/>
      <c r="Y38" s="18"/>
      <c r="Z38" s="18"/>
      <c r="AA38" s="18"/>
      <c r="AB38" s="18"/>
      <c r="AC38" s="22">
        <v>0.2</v>
      </c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22">
        <v>0.2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22">
        <v>0.2</v>
      </c>
      <c r="BF38" s="7"/>
      <c r="BG38" s="7"/>
      <c r="BH38" s="7"/>
      <c r="BI38" s="7"/>
      <c r="BJ38" s="7"/>
      <c r="BK38" s="7"/>
    </row>
    <row r="39" ht="22.5" customHeight="1">
      <c r="A39" s="36"/>
      <c r="B39" s="19" t="s">
        <v>107</v>
      </c>
      <c r="C39" s="19" t="s">
        <v>108</v>
      </c>
      <c r="D39" s="19" t="s">
        <v>110</v>
      </c>
      <c r="E39" s="20" t="s">
        <v>72</v>
      </c>
      <c r="F39" s="18"/>
      <c r="G39" s="21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9"/>
      <c r="T39" s="18"/>
      <c r="U39" s="18"/>
      <c r="V39" s="18"/>
      <c r="W39" s="18"/>
      <c r="X39" s="18"/>
      <c r="Y39" s="18"/>
      <c r="Z39" s="18"/>
      <c r="AA39" s="32">
        <v>0.5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32">
        <v>0.5</v>
      </c>
      <c r="BF39" s="7"/>
      <c r="BG39" s="7"/>
      <c r="BH39" s="7"/>
      <c r="BI39" s="7"/>
      <c r="BJ39" s="7"/>
      <c r="BK39" s="7"/>
    </row>
    <row r="40" ht="22.5" customHeight="1">
      <c r="A40" s="36"/>
      <c r="B40" s="19" t="s">
        <v>111</v>
      </c>
      <c r="C40" s="19" t="s">
        <v>112</v>
      </c>
      <c r="D40" s="19" t="s">
        <v>113</v>
      </c>
      <c r="E40" s="20" t="s">
        <v>63</v>
      </c>
      <c r="F40" s="18"/>
      <c r="G40" s="21"/>
      <c r="H40" s="18"/>
      <c r="I40" s="18"/>
      <c r="J40" s="18"/>
      <c r="K40" s="40"/>
      <c r="L40" s="41"/>
      <c r="M40" s="18"/>
      <c r="N40" s="18"/>
      <c r="O40" s="22">
        <v>0.2</v>
      </c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22">
        <v>0.2</v>
      </c>
      <c r="AD40" s="18"/>
      <c r="AE40" s="18"/>
      <c r="AF40" s="18"/>
      <c r="AG40" s="18"/>
      <c r="AH40" s="18"/>
      <c r="AI40" s="18"/>
      <c r="AJ40" s="18"/>
      <c r="AK40" s="18"/>
      <c r="AL40" s="18"/>
      <c r="AM40" s="41"/>
      <c r="AN40" s="41"/>
      <c r="AO40" s="18"/>
      <c r="AP40" s="18"/>
      <c r="AQ40" s="22">
        <v>0.2</v>
      </c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22">
        <v>0.2</v>
      </c>
      <c r="BF40" s="7"/>
      <c r="BG40" s="7"/>
      <c r="BH40" s="7"/>
      <c r="BI40" s="7"/>
      <c r="BJ40" s="7"/>
      <c r="BK40" s="7"/>
    </row>
    <row r="41" ht="22.5" customHeight="1">
      <c r="A41" s="36"/>
      <c r="B41" s="19" t="s">
        <v>111</v>
      </c>
      <c r="C41" s="19" t="s">
        <v>112</v>
      </c>
      <c r="D41" s="19" t="s">
        <v>114</v>
      </c>
      <c r="E41" s="20" t="s">
        <v>63</v>
      </c>
      <c r="F41" s="18"/>
      <c r="G41" s="21"/>
      <c r="H41" s="18"/>
      <c r="I41" s="18"/>
      <c r="J41" s="18"/>
      <c r="K41" s="40"/>
      <c r="L41" s="41"/>
      <c r="M41" s="18"/>
      <c r="N41" s="18"/>
      <c r="O41" s="22">
        <v>0.5</v>
      </c>
      <c r="P41" s="18"/>
      <c r="Q41" s="18"/>
      <c r="R41" s="18"/>
      <c r="S41" s="19"/>
      <c r="T41" s="18"/>
      <c r="U41" s="18"/>
      <c r="V41" s="18"/>
      <c r="W41" s="18"/>
      <c r="X41" s="18"/>
      <c r="Y41" s="18"/>
      <c r="Z41" s="18"/>
      <c r="AA41" s="18"/>
      <c r="AB41" s="18"/>
      <c r="AC41" s="22">
        <v>0.5</v>
      </c>
      <c r="AD41" s="18"/>
      <c r="AE41" s="18"/>
      <c r="AF41" s="18"/>
      <c r="AG41" s="18"/>
      <c r="AH41" s="18"/>
      <c r="AI41" s="18"/>
      <c r="AJ41" s="18"/>
      <c r="AK41" s="18"/>
      <c r="AL41" s="18"/>
      <c r="AM41" s="41"/>
      <c r="AN41" s="41"/>
      <c r="AO41" s="18"/>
      <c r="AP41" s="18"/>
      <c r="AQ41" s="22">
        <v>0.5</v>
      </c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22">
        <v>0.5</v>
      </c>
      <c r="BF41" s="7"/>
      <c r="BG41" s="7"/>
      <c r="BH41" s="7"/>
      <c r="BI41" s="7"/>
      <c r="BJ41" s="7"/>
      <c r="BK41" s="7"/>
    </row>
    <row r="42" ht="22.5" customHeight="1">
      <c r="A42" s="36"/>
      <c r="B42" s="19" t="s">
        <v>111</v>
      </c>
      <c r="C42" s="19" t="s">
        <v>112</v>
      </c>
      <c r="D42" s="19" t="s">
        <v>115</v>
      </c>
      <c r="E42" s="20" t="s">
        <v>72</v>
      </c>
      <c r="F42" s="18"/>
      <c r="G42" s="21"/>
      <c r="H42" s="18"/>
      <c r="I42" s="18"/>
      <c r="J42" s="18"/>
      <c r="K42" s="40"/>
      <c r="L42" s="41"/>
      <c r="M42" s="18"/>
      <c r="N42" s="18"/>
      <c r="O42" s="18"/>
      <c r="P42" s="18"/>
      <c r="Q42" s="18"/>
      <c r="R42" s="18"/>
      <c r="S42" s="19"/>
      <c r="T42" s="18"/>
      <c r="U42" s="18"/>
      <c r="V42" s="18"/>
      <c r="W42" s="32">
        <v>0.2</v>
      </c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41"/>
      <c r="AN42" s="41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7"/>
      <c r="BG42" s="7"/>
      <c r="BH42" s="7"/>
      <c r="BI42" s="7"/>
      <c r="BJ42" s="7"/>
      <c r="BK42" s="7"/>
    </row>
    <row r="43">
      <c r="A43" s="36"/>
      <c r="B43" s="19" t="s">
        <v>116</v>
      </c>
      <c r="C43" s="24" t="s">
        <v>117</v>
      </c>
      <c r="D43" s="24" t="s">
        <v>118</v>
      </c>
      <c r="E43" s="20" t="s">
        <v>97</v>
      </c>
      <c r="F43" s="18"/>
      <c r="G43" s="21"/>
      <c r="H43" s="18"/>
      <c r="I43" s="18"/>
      <c r="J43" s="18"/>
      <c r="K43" s="39">
        <v>0.1</v>
      </c>
      <c r="L43" s="18"/>
      <c r="M43" s="18"/>
      <c r="N43" s="18"/>
      <c r="O43" s="18"/>
      <c r="P43" s="18"/>
      <c r="Q43" s="18"/>
      <c r="R43" s="18"/>
      <c r="S43" s="18"/>
      <c r="T43" s="39">
        <v>0.1</v>
      </c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39">
        <v>0.1</v>
      </c>
      <c r="AF43" s="18"/>
      <c r="AG43" s="18"/>
      <c r="AH43" s="18"/>
      <c r="AI43" s="18"/>
      <c r="AJ43" s="18"/>
      <c r="AK43" s="18"/>
      <c r="AL43" s="18"/>
      <c r="AM43" s="18"/>
      <c r="AN43" s="18"/>
      <c r="AO43" s="39">
        <v>0.1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39">
        <v>0.1</v>
      </c>
      <c r="AZ43" s="18"/>
      <c r="BA43" s="18"/>
      <c r="BB43" s="18"/>
      <c r="BC43" s="18"/>
      <c r="BD43" s="18"/>
      <c r="BE43" s="18"/>
      <c r="BF43" s="7"/>
      <c r="BG43" s="7"/>
      <c r="BH43" s="7"/>
      <c r="BI43" s="7"/>
      <c r="BJ43" s="7"/>
      <c r="BK43" s="7"/>
    </row>
    <row r="44">
      <c r="A44" s="36"/>
      <c r="B44" s="19" t="s">
        <v>116</v>
      </c>
      <c r="C44" s="24" t="s">
        <v>117</v>
      </c>
      <c r="D44" s="24" t="s">
        <v>119</v>
      </c>
      <c r="E44" s="20" t="s">
        <v>72</v>
      </c>
      <c r="F44" s="18"/>
      <c r="G44" s="32">
        <v>0.45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9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32">
        <v>0.45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7"/>
      <c r="BG44" s="7"/>
      <c r="BH44" s="7"/>
      <c r="BI44" s="7"/>
      <c r="BJ44" s="7"/>
      <c r="BK44" s="7"/>
    </row>
    <row r="45">
      <c r="A45" s="36"/>
      <c r="B45" s="19" t="s">
        <v>120</v>
      </c>
      <c r="C45" s="19" t="s">
        <v>121</v>
      </c>
      <c r="D45" s="19" t="s">
        <v>122</v>
      </c>
      <c r="E45" s="20" t="s">
        <v>65</v>
      </c>
      <c r="F45" s="18"/>
      <c r="G45" s="21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9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28">
        <v>0.5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7"/>
      <c r="BG45" s="7"/>
      <c r="BH45" s="7"/>
      <c r="BI45" s="7"/>
      <c r="BJ45" s="7"/>
      <c r="BK45" s="7"/>
    </row>
    <row r="46" ht="22.5" customHeight="1">
      <c r="A46" s="36"/>
      <c r="B46" s="19" t="s">
        <v>123</v>
      </c>
      <c r="C46" s="19" t="s">
        <v>124</v>
      </c>
      <c r="D46" s="19" t="s">
        <v>125</v>
      </c>
      <c r="E46" s="20" t="s">
        <v>65</v>
      </c>
      <c r="F46" s="18"/>
      <c r="G46" s="21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9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28">
        <v>0.35</v>
      </c>
      <c r="BD46" s="18"/>
      <c r="BE46" s="18"/>
      <c r="BF46" s="7"/>
      <c r="BG46" s="7"/>
      <c r="BH46" s="7"/>
      <c r="BI46" s="7"/>
      <c r="BJ46" s="7"/>
      <c r="BK46" s="7"/>
    </row>
    <row r="47" ht="22.5" customHeight="1">
      <c r="A47" s="36"/>
      <c r="B47" s="19" t="s">
        <v>123</v>
      </c>
      <c r="C47" s="19" t="s">
        <v>124</v>
      </c>
      <c r="D47" s="19" t="s">
        <v>126</v>
      </c>
      <c r="E47" s="20" t="s">
        <v>65</v>
      </c>
      <c r="F47" s="18"/>
      <c r="G47" s="21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9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28">
        <v>0.1</v>
      </c>
      <c r="BD47" s="18"/>
      <c r="BE47" s="18"/>
      <c r="BF47" s="7"/>
      <c r="BG47" s="7"/>
      <c r="BH47" s="7"/>
      <c r="BI47" s="7"/>
      <c r="BJ47" s="7"/>
      <c r="BK47" s="7"/>
    </row>
    <row r="48">
      <c r="A48" s="36"/>
      <c r="B48" s="19" t="s">
        <v>123</v>
      </c>
      <c r="C48" s="19" t="s">
        <v>124</v>
      </c>
      <c r="D48" s="19" t="s">
        <v>127</v>
      </c>
      <c r="E48" s="20" t="s">
        <v>65</v>
      </c>
      <c r="F48" s="18"/>
      <c r="G48" s="21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9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28">
        <v>0.1</v>
      </c>
      <c r="BD48" s="18"/>
      <c r="BE48" s="18"/>
      <c r="BF48" s="7"/>
      <c r="BG48" s="7"/>
      <c r="BH48" s="7"/>
      <c r="BI48" s="7"/>
      <c r="BJ48" s="7"/>
      <c r="BK48" s="7"/>
    </row>
    <row r="49" ht="22.5" customHeight="1">
      <c r="A49" s="36"/>
      <c r="B49" s="19" t="s">
        <v>123</v>
      </c>
      <c r="C49" s="19" t="s">
        <v>124</v>
      </c>
      <c r="D49" s="19" t="s">
        <v>128</v>
      </c>
      <c r="E49" s="20" t="s">
        <v>65</v>
      </c>
      <c r="F49" s="18"/>
      <c r="G49" s="21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9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28">
        <v>0.15</v>
      </c>
      <c r="BD49" s="18"/>
      <c r="BE49" s="18"/>
      <c r="BF49" s="7"/>
      <c r="BG49" s="7"/>
      <c r="BH49" s="7"/>
      <c r="BI49" s="7"/>
      <c r="BJ49" s="7"/>
      <c r="BK49" s="7"/>
    </row>
    <row r="50">
      <c r="A50" s="36"/>
      <c r="B50" s="19" t="s">
        <v>123</v>
      </c>
      <c r="C50" s="19" t="s">
        <v>124</v>
      </c>
      <c r="D50" s="19" t="s">
        <v>129</v>
      </c>
      <c r="E50" s="20" t="s">
        <v>65</v>
      </c>
      <c r="F50" s="18"/>
      <c r="G50" s="21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9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28">
        <v>0.2</v>
      </c>
      <c r="BD50" s="18"/>
      <c r="BE50" s="18"/>
      <c r="BF50" s="7"/>
      <c r="BG50" s="7"/>
      <c r="BH50" s="7"/>
      <c r="BI50" s="7"/>
      <c r="BJ50" s="7"/>
      <c r="BK50" s="7"/>
    </row>
    <row r="51" ht="22.5" customHeight="1">
      <c r="A51" s="36"/>
      <c r="B51" s="19" t="s">
        <v>123</v>
      </c>
      <c r="C51" s="19" t="s">
        <v>124</v>
      </c>
      <c r="D51" s="19" t="s">
        <v>130</v>
      </c>
      <c r="E51" s="20" t="s">
        <v>65</v>
      </c>
      <c r="F51" s="18"/>
      <c r="G51" s="21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42"/>
      <c r="T51" s="18"/>
      <c r="U51" s="19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28">
        <v>0.2</v>
      </c>
      <c r="BD51" s="18"/>
      <c r="BE51" s="18"/>
      <c r="BF51" s="7"/>
      <c r="BG51" s="7"/>
      <c r="BH51" s="7"/>
      <c r="BI51" s="7"/>
      <c r="BJ51" s="7"/>
      <c r="BK51" s="7"/>
    </row>
    <row r="52" ht="22.5" customHeight="1">
      <c r="A52" s="36"/>
      <c r="B52" s="19" t="s">
        <v>123</v>
      </c>
      <c r="C52" s="19" t="s">
        <v>124</v>
      </c>
      <c r="D52" s="19" t="s">
        <v>131</v>
      </c>
      <c r="E52" s="20" t="s">
        <v>65</v>
      </c>
      <c r="F52" s="18"/>
      <c r="G52" s="21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43"/>
      <c r="S52" s="26"/>
      <c r="T52" s="44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28">
        <v>0.15</v>
      </c>
      <c r="BD52" s="18"/>
      <c r="BE52" s="18"/>
      <c r="BF52" s="7"/>
      <c r="BG52" s="7"/>
      <c r="BH52" s="7"/>
      <c r="BI52" s="7"/>
      <c r="BJ52" s="7"/>
      <c r="BK52" s="7"/>
    </row>
    <row r="53">
      <c r="A53" s="36"/>
      <c r="B53" s="19" t="s">
        <v>123</v>
      </c>
      <c r="C53" s="19" t="s">
        <v>124</v>
      </c>
      <c r="D53" s="19" t="s">
        <v>132</v>
      </c>
      <c r="E53" s="20" t="s">
        <v>65</v>
      </c>
      <c r="F53" s="18"/>
      <c r="G53" s="21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43"/>
      <c r="S53" s="26"/>
      <c r="T53" s="44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28">
        <v>0.1</v>
      </c>
      <c r="BD53" s="18"/>
      <c r="BE53" s="18"/>
      <c r="BF53" s="7"/>
      <c r="BG53" s="7"/>
      <c r="BH53" s="7"/>
      <c r="BI53" s="7"/>
      <c r="BJ53" s="7"/>
      <c r="BK53" s="7"/>
    </row>
    <row r="54">
      <c r="A54" s="36"/>
      <c r="B54" s="19" t="s">
        <v>133</v>
      </c>
      <c r="C54" s="19" t="s">
        <v>134</v>
      </c>
      <c r="D54" s="19" t="s">
        <v>135</v>
      </c>
      <c r="E54" s="20" t="s">
        <v>136</v>
      </c>
      <c r="F54" s="18"/>
      <c r="G54" s="21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28">
        <v>2.0</v>
      </c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7"/>
      <c r="BG54" s="7"/>
      <c r="BH54" s="7"/>
      <c r="BI54" s="7"/>
      <c r="BJ54" s="7"/>
      <c r="BK54" s="7"/>
    </row>
    <row r="55" ht="33.0" customHeight="1">
      <c r="A55" s="36"/>
      <c r="B55" s="19" t="s">
        <v>133</v>
      </c>
      <c r="C55" s="19" t="s">
        <v>134</v>
      </c>
      <c r="D55" s="45" t="s">
        <v>137</v>
      </c>
      <c r="E55" s="20" t="s">
        <v>97</v>
      </c>
      <c r="F55" s="18"/>
      <c r="G55" s="46">
        <v>0.3</v>
      </c>
      <c r="H55" s="18"/>
      <c r="I55" s="18"/>
      <c r="J55" s="18"/>
      <c r="K55" s="46">
        <v>0.3</v>
      </c>
      <c r="L55" s="18"/>
      <c r="M55" s="18"/>
      <c r="N55" s="18"/>
      <c r="O55" s="46">
        <v>0.3</v>
      </c>
      <c r="P55" s="18"/>
      <c r="Q55" s="18"/>
      <c r="R55" s="18"/>
      <c r="S55" s="46">
        <v>0.3</v>
      </c>
      <c r="T55" s="18"/>
      <c r="U55" s="18"/>
      <c r="V55" s="18"/>
      <c r="W55" s="46">
        <v>0.3</v>
      </c>
      <c r="X55" s="18"/>
      <c r="Y55" s="18"/>
      <c r="Z55" s="18"/>
      <c r="AA55" s="46">
        <v>0.3</v>
      </c>
      <c r="AB55" s="18"/>
      <c r="AC55" s="18"/>
      <c r="AD55" s="18"/>
      <c r="AE55" s="46">
        <v>0.3</v>
      </c>
      <c r="AF55" s="18"/>
      <c r="AG55" s="18"/>
      <c r="AH55" s="18"/>
      <c r="AI55" s="46">
        <v>0.3</v>
      </c>
      <c r="AJ55" s="18"/>
      <c r="AK55" s="18"/>
      <c r="AL55" s="18"/>
      <c r="AM55" s="46">
        <v>0.3</v>
      </c>
      <c r="AN55" s="18"/>
      <c r="AO55" s="18"/>
      <c r="AP55" s="18"/>
      <c r="AQ55" s="46">
        <v>0.3</v>
      </c>
      <c r="AR55" s="18"/>
      <c r="AS55" s="18"/>
      <c r="AT55" s="18"/>
      <c r="AU55" s="46">
        <v>0.3</v>
      </c>
      <c r="AV55" s="18"/>
      <c r="AW55" s="18"/>
      <c r="AX55" s="18"/>
      <c r="AY55" s="46">
        <v>0.3</v>
      </c>
      <c r="AZ55" s="18"/>
      <c r="BA55" s="18"/>
      <c r="BB55" s="18"/>
      <c r="BC55" s="46">
        <v>0.3</v>
      </c>
      <c r="BD55" s="18"/>
      <c r="BE55" s="18"/>
      <c r="BF55" s="7"/>
      <c r="BG55" s="7"/>
      <c r="BH55" s="7"/>
      <c r="BI55" s="7"/>
      <c r="BJ55" s="7"/>
      <c r="BK55" s="7"/>
    </row>
    <row r="56">
      <c r="A56" s="36"/>
      <c r="B56" s="19" t="s">
        <v>133</v>
      </c>
      <c r="C56" s="19" t="s">
        <v>134</v>
      </c>
      <c r="D56" s="45" t="s">
        <v>138</v>
      </c>
      <c r="E56" s="20" t="s">
        <v>63</v>
      </c>
      <c r="F56" s="18"/>
      <c r="G56" s="21"/>
      <c r="H56" s="18"/>
      <c r="I56" s="18"/>
      <c r="J56" s="39">
        <v>0.15</v>
      </c>
      <c r="K56" s="18"/>
      <c r="L56" s="18"/>
      <c r="M56" s="18"/>
      <c r="N56" s="18"/>
      <c r="O56" s="18"/>
      <c r="P56" s="18"/>
      <c r="Q56" s="18"/>
      <c r="R56" s="18"/>
      <c r="S56" s="39">
        <v>0.15</v>
      </c>
      <c r="T56" s="18"/>
      <c r="U56" s="18"/>
      <c r="V56" s="18"/>
      <c r="W56" s="18"/>
      <c r="X56" s="18"/>
      <c r="Y56" s="18"/>
      <c r="Z56" s="18"/>
      <c r="AA56" s="39">
        <v>0.15</v>
      </c>
      <c r="AB56" s="18"/>
      <c r="AC56" s="18"/>
      <c r="AD56" s="18"/>
      <c r="AE56" s="18"/>
      <c r="AF56" s="18"/>
      <c r="AG56" s="18"/>
      <c r="AH56" s="18"/>
      <c r="AI56" s="39">
        <v>0.15</v>
      </c>
      <c r="AJ56" s="18"/>
      <c r="AK56" s="18"/>
      <c r="AL56" s="18"/>
      <c r="AM56" s="18"/>
      <c r="AN56" s="18"/>
      <c r="AO56" s="18"/>
      <c r="AP56" s="18"/>
      <c r="AQ56" s="39">
        <v>0.15</v>
      </c>
      <c r="AR56" s="18"/>
      <c r="AS56" s="18"/>
      <c r="AT56" s="18"/>
      <c r="AU56" s="18"/>
      <c r="AV56" s="18"/>
      <c r="AW56" s="18"/>
      <c r="AX56" s="18"/>
      <c r="AY56" s="39">
        <v>0.15</v>
      </c>
      <c r="AZ56" s="18"/>
      <c r="BA56" s="18"/>
      <c r="BB56" s="18"/>
      <c r="BC56" s="18"/>
      <c r="BD56" s="18"/>
      <c r="BE56" s="18"/>
      <c r="BF56" s="7"/>
      <c r="BG56" s="7"/>
      <c r="BH56" s="7"/>
      <c r="BI56" s="7"/>
      <c r="BJ56" s="7"/>
      <c r="BK56" s="7"/>
    </row>
    <row r="57">
      <c r="A57" s="36"/>
      <c r="B57" s="19" t="s">
        <v>133</v>
      </c>
      <c r="C57" s="19" t="s">
        <v>134</v>
      </c>
      <c r="D57" s="45" t="s">
        <v>139</v>
      </c>
      <c r="E57" s="20" t="s">
        <v>63</v>
      </c>
      <c r="F57" s="18"/>
      <c r="G57" s="21"/>
      <c r="H57" s="18"/>
      <c r="I57" s="18"/>
      <c r="J57" s="18"/>
      <c r="K57" s="18"/>
      <c r="L57" s="18"/>
      <c r="M57" s="18"/>
      <c r="N57" s="18"/>
      <c r="O57" s="22">
        <v>0.2</v>
      </c>
      <c r="P57" s="18"/>
      <c r="Q57" s="18"/>
      <c r="R57" s="18"/>
      <c r="S57" s="19"/>
      <c r="T57" s="18"/>
      <c r="U57" s="18"/>
      <c r="V57" s="18"/>
      <c r="W57" s="18"/>
      <c r="X57" s="18"/>
      <c r="Y57" s="18"/>
      <c r="Z57" s="18"/>
      <c r="AA57" s="18"/>
      <c r="AB57" s="18"/>
      <c r="AC57" s="22">
        <v>0.2</v>
      </c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22">
        <v>0.2</v>
      </c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22">
        <v>0.2</v>
      </c>
      <c r="BF57" s="7"/>
      <c r="BG57" s="7"/>
      <c r="BH57" s="7"/>
      <c r="BI57" s="7"/>
      <c r="BJ57" s="7"/>
      <c r="BK57" s="7"/>
    </row>
    <row r="58">
      <c r="A58" s="36"/>
      <c r="F58" s="18"/>
      <c r="G58" s="21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6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22">
        <v>4.0</v>
      </c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22">
        <v>4.0</v>
      </c>
      <c r="BF58" s="7"/>
      <c r="BG58" s="7"/>
      <c r="BH58" s="7"/>
      <c r="BI58" s="7"/>
      <c r="BJ58" s="7"/>
      <c r="BK58" s="7"/>
    </row>
    <row r="59" ht="22.5" customHeight="1">
      <c r="A59" s="36"/>
      <c r="B59" s="19" t="s">
        <v>133</v>
      </c>
      <c r="C59" s="19" t="s">
        <v>134</v>
      </c>
      <c r="D59" s="45" t="s">
        <v>140</v>
      </c>
      <c r="E59" s="20" t="s">
        <v>72</v>
      </c>
      <c r="F59" s="18"/>
      <c r="G59" s="21"/>
      <c r="H59" s="18"/>
      <c r="I59" s="18"/>
      <c r="J59" s="32">
        <v>0.2</v>
      </c>
      <c r="K59" s="18"/>
      <c r="L59" s="18"/>
      <c r="M59" s="18"/>
      <c r="N59" s="18"/>
      <c r="O59" s="18"/>
      <c r="P59" s="18"/>
      <c r="Q59" s="18"/>
      <c r="R59" s="18"/>
      <c r="S59" s="19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32">
        <v>0.2</v>
      </c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7"/>
      <c r="BG59" s="7"/>
      <c r="BH59" s="7"/>
      <c r="BI59" s="7"/>
      <c r="BJ59" s="7"/>
      <c r="BK59" s="7"/>
    </row>
    <row r="60">
      <c r="A60" s="36"/>
      <c r="B60" s="19" t="s">
        <v>141</v>
      </c>
      <c r="C60" s="19" t="s">
        <v>142</v>
      </c>
      <c r="D60" s="45" t="s">
        <v>143</v>
      </c>
      <c r="E60" s="20" t="s">
        <v>65</v>
      </c>
      <c r="F60" s="18"/>
      <c r="G60" s="21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28">
        <v>0.5</v>
      </c>
      <c r="BB60" s="18"/>
      <c r="BC60" s="18"/>
      <c r="BD60" s="18"/>
      <c r="BE60" s="18"/>
      <c r="BF60" s="7"/>
      <c r="BG60" s="7"/>
      <c r="BH60" s="7"/>
      <c r="BI60" s="7"/>
      <c r="BJ60" s="7"/>
      <c r="BK60" s="7"/>
    </row>
    <row r="61" ht="22.5" customHeight="1">
      <c r="A61" s="36"/>
      <c r="B61" s="19" t="s">
        <v>141</v>
      </c>
      <c r="C61" s="19" t="s">
        <v>142</v>
      </c>
      <c r="D61" s="45" t="s">
        <v>144</v>
      </c>
      <c r="E61" s="20" t="s">
        <v>65</v>
      </c>
      <c r="F61" s="18"/>
      <c r="G61" s="21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9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28">
        <v>0.5</v>
      </c>
      <c r="BB61" s="18"/>
      <c r="BC61" s="18"/>
      <c r="BD61" s="18"/>
      <c r="BE61" s="18"/>
      <c r="BF61" s="7"/>
      <c r="BG61" s="7"/>
      <c r="BH61" s="7"/>
      <c r="BI61" s="7"/>
      <c r="BJ61" s="7"/>
      <c r="BK61" s="7"/>
    </row>
    <row r="62" ht="22.5" customHeight="1">
      <c r="A62" s="36"/>
      <c r="B62" s="19" t="s">
        <v>141</v>
      </c>
      <c r="C62" s="19" t="s">
        <v>142</v>
      </c>
      <c r="D62" s="45" t="s">
        <v>145</v>
      </c>
      <c r="E62" s="20" t="s">
        <v>65</v>
      </c>
      <c r="F62" s="18"/>
      <c r="G62" s="21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9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28">
        <v>0.5</v>
      </c>
      <c r="BB62" s="18"/>
      <c r="BC62" s="18"/>
      <c r="BD62" s="18"/>
      <c r="BE62" s="18"/>
      <c r="BF62" s="7"/>
      <c r="BG62" s="7"/>
      <c r="BH62" s="7"/>
      <c r="BI62" s="7"/>
      <c r="BJ62" s="7"/>
      <c r="BK62" s="7"/>
    </row>
    <row r="63" ht="22.5" customHeight="1">
      <c r="A63" s="36"/>
      <c r="B63" s="19" t="s">
        <v>141</v>
      </c>
      <c r="C63" s="19" t="s">
        <v>142</v>
      </c>
      <c r="D63" s="45" t="s">
        <v>146</v>
      </c>
      <c r="E63" s="20" t="s">
        <v>65</v>
      </c>
      <c r="F63" s="18"/>
      <c r="G63" s="21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9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28">
        <v>0.5</v>
      </c>
      <c r="BB63" s="18"/>
      <c r="BC63" s="18"/>
      <c r="BD63" s="18"/>
      <c r="BE63" s="18"/>
      <c r="BF63" s="7"/>
      <c r="BG63" s="7"/>
      <c r="BH63" s="7"/>
      <c r="BI63" s="7"/>
      <c r="BJ63" s="7"/>
      <c r="BK63" s="7"/>
    </row>
    <row r="64" ht="22.5" customHeight="1">
      <c r="A64" s="36"/>
      <c r="B64" s="19" t="s">
        <v>147</v>
      </c>
      <c r="C64" s="19" t="s">
        <v>148</v>
      </c>
      <c r="D64" s="45" t="s">
        <v>149</v>
      </c>
      <c r="E64" s="20" t="s">
        <v>72</v>
      </c>
      <c r="F64" s="18"/>
      <c r="G64" s="21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32">
        <v>2.0</v>
      </c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32">
        <v>2.0</v>
      </c>
      <c r="BB64" s="18"/>
      <c r="BC64" s="18"/>
      <c r="BD64" s="18"/>
      <c r="BE64" s="18"/>
      <c r="BF64" s="7"/>
      <c r="BG64" s="7"/>
      <c r="BH64" s="7"/>
      <c r="BI64" s="7"/>
      <c r="BJ64" s="7"/>
      <c r="BK64" s="7"/>
    </row>
    <row r="65" ht="22.5" customHeight="1">
      <c r="A65" s="47"/>
      <c r="B65" s="19" t="s">
        <v>58</v>
      </c>
      <c r="C65" s="19" t="s">
        <v>59</v>
      </c>
      <c r="D65" s="45" t="s">
        <v>150</v>
      </c>
      <c r="E65" s="20" t="s">
        <v>72</v>
      </c>
      <c r="F65" s="18"/>
      <c r="G65" s="21"/>
      <c r="H65" s="18"/>
      <c r="I65" s="18"/>
      <c r="J65" s="18"/>
      <c r="K65" s="18"/>
      <c r="L65" s="18"/>
      <c r="M65" s="18"/>
      <c r="N65" s="18"/>
      <c r="O65" s="32">
        <v>0.15</v>
      </c>
      <c r="P65" s="18"/>
      <c r="Q65" s="18"/>
      <c r="R65" s="18"/>
      <c r="S65" s="19"/>
      <c r="T65" s="18"/>
      <c r="U65" s="18"/>
      <c r="V65" s="18"/>
      <c r="W65" s="18"/>
      <c r="X65" s="18"/>
      <c r="Y65" s="18"/>
      <c r="Z65" s="18"/>
      <c r="AA65" s="18"/>
      <c r="AB65" s="20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32">
        <v>0.15</v>
      </c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20"/>
      <c r="BC65" s="18"/>
      <c r="BD65" s="18"/>
      <c r="BE65" s="18"/>
      <c r="BF65" s="7"/>
      <c r="BG65" s="7"/>
      <c r="BH65" s="7"/>
      <c r="BI65" s="7"/>
      <c r="BJ65" s="7"/>
      <c r="BK65" s="7"/>
    </row>
    <row r="66" ht="22.5" customHeight="1">
      <c r="A66" s="47"/>
      <c r="B66" s="19" t="s">
        <v>58</v>
      </c>
      <c r="C66" s="19" t="s">
        <v>59</v>
      </c>
      <c r="D66" s="45" t="s">
        <v>151</v>
      </c>
      <c r="E66" s="20" t="s">
        <v>72</v>
      </c>
      <c r="F66" s="18"/>
      <c r="G66" s="21"/>
      <c r="H66" s="18"/>
      <c r="I66" s="18"/>
      <c r="J66" s="18"/>
      <c r="K66" s="18"/>
      <c r="L66" s="18"/>
      <c r="M66" s="18"/>
      <c r="N66" s="18"/>
      <c r="O66" s="32">
        <v>0.5</v>
      </c>
      <c r="P66" s="18"/>
      <c r="Q66" s="18"/>
      <c r="R66" s="18"/>
      <c r="S66" s="19"/>
      <c r="T66" s="18"/>
      <c r="U66" s="18"/>
      <c r="V66" s="18"/>
      <c r="W66" s="18"/>
      <c r="X66" s="18"/>
      <c r="Y66" s="18"/>
      <c r="Z66" s="18"/>
      <c r="AA66" s="18"/>
      <c r="AB66" s="20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32">
        <v>0.5</v>
      </c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20"/>
      <c r="BC66" s="18"/>
      <c r="BD66" s="18"/>
      <c r="BE66" s="18"/>
      <c r="BF66" s="7"/>
      <c r="BG66" s="7"/>
      <c r="BH66" s="7"/>
      <c r="BI66" s="7"/>
      <c r="BJ66" s="7"/>
      <c r="BK66" s="7"/>
    </row>
    <row r="67" ht="22.5" customHeight="1">
      <c r="A67" s="47"/>
      <c r="B67" s="19" t="s">
        <v>74</v>
      </c>
      <c r="C67" s="19" t="s">
        <v>75</v>
      </c>
      <c r="D67" s="45" t="s">
        <v>152</v>
      </c>
      <c r="E67" s="20" t="s">
        <v>72</v>
      </c>
      <c r="F67" s="18"/>
      <c r="G67" s="21"/>
      <c r="H67" s="18"/>
      <c r="I67" s="18"/>
      <c r="J67" s="18"/>
      <c r="K67" s="18"/>
      <c r="L67" s="18"/>
      <c r="M67" s="18"/>
      <c r="N67" s="18"/>
      <c r="O67" s="32">
        <v>0.5</v>
      </c>
      <c r="P67" s="18"/>
      <c r="Q67" s="18"/>
      <c r="R67" s="18"/>
      <c r="S67" s="19"/>
      <c r="T67" s="18"/>
      <c r="U67" s="18"/>
      <c r="V67" s="18"/>
      <c r="W67" s="18"/>
      <c r="X67" s="18"/>
      <c r="Y67" s="18"/>
      <c r="Z67" s="18"/>
      <c r="AA67" s="18"/>
      <c r="AB67" s="20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32">
        <v>0.5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20"/>
      <c r="BC67" s="18"/>
      <c r="BD67" s="18"/>
      <c r="BE67" s="18"/>
      <c r="BF67" s="7"/>
      <c r="BG67" s="7"/>
      <c r="BH67" s="7"/>
      <c r="BI67" s="7"/>
      <c r="BJ67" s="7"/>
      <c r="BK67" s="7"/>
    </row>
    <row r="68" ht="22.5" customHeight="1">
      <c r="A68" s="47"/>
      <c r="B68" s="19" t="s">
        <v>74</v>
      </c>
      <c r="C68" s="19" t="s">
        <v>75</v>
      </c>
      <c r="D68" s="45" t="s">
        <v>153</v>
      </c>
      <c r="E68" s="20" t="s">
        <v>72</v>
      </c>
      <c r="F68" s="18"/>
      <c r="G68" s="21"/>
      <c r="H68" s="18"/>
      <c r="I68" s="18"/>
      <c r="J68" s="18"/>
      <c r="K68" s="18"/>
      <c r="L68" s="18"/>
      <c r="M68" s="18"/>
      <c r="N68" s="18"/>
      <c r="O68" s="32">
        <v>0.15</v>
      </c>
      <c r="P68" s="18"/>
      <c r="Q68" s="18"/>
      <c r="R68" s="18"/>
      <c r="S68" s="19"/>
      <c r="T68" s="18"/>
      <c r="U68" s="18"/>
      <c r="V68" s="18"/>
      <c r="W68" s="18"/>
      <c r="X68" s="18"/>
      <c r="Y68" s="18"/>
      <c r="Z68" s="18"/>
      <c r="AA68" s="18"/>
      <c r="AB68" s="20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32">
        <v>0.15</v>
      </c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20"/>
      <c r="BC68" s="18"/>
      <c r="BD68" s="18"/>
      <c r="BE68" s="18"/>
      <c r="BF68" s="7"/>
      <c r="BG68" s="7"/>
      <c r="BH68" s="7"/>
      <c r="BI68" s="7"/>
      <c r="BJ68" s="7"/>
      <c r="BK68" s="7"/>
    </row>
    <row r="69" ht="22.5" customHeight="1">
      <c r="A69" s="47"/>
      <c r="B69" s="19" t="s">
        <v>154</v>
      </c>
      <c r="C69" s="19" t="s">
        <v>108</v>
      </c>
      <c r="D69" s="45" t="s">
        <v>155</v>
      </c>
      <c r="E69" s="20" t="s">
        <v>72</v>
      </c>
      <c r="F69" s="18"/>
      <c r="G69" s="21"/>
      <c r="H69" s="18"/>
      <c r="I69" s="18"/>
      <c r="J69" s="18"/>
      <c r="K69" s="18"/>
      <c r="L69" s="18"/>
      <c r="M69" s="18"/>
      <c r="N69" s="18"/>
      <c r="O69" s="32">
        <v>0.5</v>
      </c>
      <c r="P69" s="18"/>
      <c r="Q69" s="18"/>
      <c r="R69" s="18"/>
      <c r="S69" s="19"/>
      <c r="T69" s="18"/>
      <c r="U69" s="18"/>
      <c r="V69" s="18"/>
      <c r="W69" s="18"/>
      <c r="X69" s="18"/>
      <c r="Y69" s="18"/>
      <c r="Z69" s="18"/>
      <c r="AA69" s="18"/>
      <c r="AB69" s="20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32">
        <v>0.5</v>
      </c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20"/>
      <c r="BC69" s="18"/>
      <c r="BD69" s="18"/>
      <c r="BE69" s="18"/>
      <c r="BF69" s="7"/>
      <c r="BG69" s="7"/>
      <c r="BH69" s="7"/>
      <c r="BI69" s="7"/>
      <c r="BJ69" s="7"/>
      <c r="BK69" s="7"/>
    </row>
    <row r="70" ht="22.5" customHeight="1">
      <c r="A70" s="47"/>
      <c r="B70" s="19" t="s">
        <v>156</v>
      </c>
      <c r="C70" s="19" t="s">
        <v>157</v>
      </c>
      <c r="D70" s="45" t="s">
        <v>158</v>
      </c>
      <c r="E70" s="20" t="s">
        <v>72</v>
      </c>
      <c r="F70" s="18"/>
      <c r="G70" s="21"/>
      <c r="H70" s="18"/>
      <c r="I70" s="18"/>
      <c r="J70" s="18"/>
      <c r="K70" s="18"/>
      <c r="L70" s="18"/>
      <c r="M70" s="18"/>
      <c r="N70" s="18"/>
      <c r="O70" s="32">
        <v>0.5</v>
      </c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20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32">
        <v>0.5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20"/>
      <c r="BC70" s="18"/>
      <c r="BD70" s="18"/>
      <c r="BE70" s="18"/>
      <c r="BF70" s="7"/>
      <c r="BG70" s="7"/>
      <c r="BH70" s="7"/>
      <c r="BI70" s="7"/>
      <c r="BJ70" s="7"/>
      <c r="BK70" s="7"/>
    </row>
    <row r="71" ht="22.5" customHeight="1">
      <c r="A71" s="47"/>
      <c r="B71" s="19" t="s">
        <v>58</v>
      </c>
      <c r="C71" s="19" t="s">
        <v>59</v>
      </c>
      <c r="D71" s="45" t="s">
        <v>159</v>
      </c>
      <c r="E71" s="20" t="s">
        <v>72</v>
      </c>
      <c r="F71" s="18"/>
      <c r="G71" s="21"/>
      <c r="H71" s="18"/>
      <c r="I71" s="18"/>
      <c r="J71" s="18"/>
      <c r="K71" s="18"/>
      <c r="L71" s="18"/>
      <c r="M71" s="18"/>
      <c r="N71" s="18"/>
      <c r="O71" s="32">
        <v>0.15</v>
      </c>
      <c r="P71" s="18"/>
      <c r="Q71" s="18"/>
      <c r="R71" s="18"/>
      <c r="S71" s="19"/>
      <c r="T71" s="18"/>
      <c r="U71" s="18"/>
      <c r="V71" s="18"/>
      <c r="W71" s="18"/>
      <c r="X71" s="18"/>
      <c r="Y71" s="18"/>
      <c r="Z71" s="18"/>
      <c r="AA71" s="18"/>
      <c r="AB71" s="20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32">
        <v>0.15</v>
      </c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20"/>
      <c r="BC71" s="18"/>
      <c r="BD71" s="18"/>
      <c r="BE71" s="18"/>
      <c r="BF71" s="7"/>
      <c r="BG71" s="7"/>
      <c r="BH71" s="7"/>
      <c r="BI71" s="7"/>
      <c r="BJ71" s="7"/>
      <c r="BK71" s="7"/>
    </row>
    <row r="72" ht="22.5" customHeight="1">
      <c r="A72" s="47"/>
      <c r="B72" s="19" t="s">
        <v>58</v>
      </c>
      <c r="C72" s="19" t="s">
        <v>59</v>
      </c>
      <c r="D72" s="45" t="s">
        <v>160</v>
      </c>
      <c r="E72" s="20" t="s">
        <v>72</v>
      </c>
      <c r="F72" s="18"/>
      <c r="G72" s="21"/>
      <c r="H72" s="18"/>
      <c r="I72" s="18"/>
      <c r="J72" s="18"/>
      <c r="K72" s="18"/>
      <c r="L72" s="18"/>
      <c r="M72" s="18"/>
      <c r="N72" s="18"/>
      <c r="O72" s="32">
        <v>0.5</v>
      </c>
      <c r="P72" s="18"/>
      <c r="Q72" s="18"/>
      <c r="R72" s="18"/>
      <c r="S72" s="19"/>
      <c r="T72" s="18"/>
      <c r="U72" s="18"/>
      <c r="V72" s="18"/>
      <c r="W72" s="18"/>
      <c r="X72" s="18"/>
      <c r="Y72" s="18"/>
      <c r="Z72" s="18"/>
      <c r="AA72" s="18"/>
      <c r="AB72" s="20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32">
        <v>0.5</v>
      </c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20"/>
      <c r="BC72" s="18"/>
      <c r="BD72" s="18"/>
      <c r="BE72" s="18"/>
      <c r="BF72" s="7"/>
      <c r="BG72" s="7"/>
      <c r="BH72" s="7"/>
      <c r="BI72" s="7"/>
      <c r="BJ72" s="7"/>
      <c r="BK72" s="7"/>
    </row>
    <row r="73" ht="22.5" customHeight="1">
      <c r="A73" s="47"/>
      <c r="B73" s="19" t="s">
        <v>154</v>
      </c>
      <c r="C73" s="19" t="s">
        <v>108</v>
      </c>
      <c r="D73" s="45" t="s">
        <v>161</v>
      </c>
      <c r="E73" s="20" t="s">
        <v>72</v>
      </c>
      <c r="F73" s="18"/>
      <c r="G73" s="21"/>
      <c r="H73" s="18"/>
      <c r="I73" s="18"/>
      <c r="J73" s="18"/>
      <c r="K73" s="18"/>
      <c r="L73" s="18"/>
      <c r="M73" s="18"/>
      <c r="N73" s="18"/>
      <c r="O73" s="32">
        <v>0.5</v>
      </c>
      <c r="P73" s="18"/>
      <c r="Q73" s="18"/>
      <c r="R73" s="18"/>
      <c r="S73" s="19"/>
      <c r="T73" s="18"/>
      <c r="U73" s="18"/>
      <c r="V73" s="18"/>
      <c r="W73" s="18"/>
      <c r="X73" s="18"/>
      <c r="Y73" s="18"/>
      <c r="Z73" s="18"/>
      <c r="AA73" s="18"/>
      <c r="AB73" s="20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32">
        <v>0.5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20"/>
      <c r="BC73" s="18"/>
      <c r="BD73" s="18"/>
      <c r="BE73" s="18"/>
      <c r="BF73" s="7"/>
      <c r="BG73" s="7"/>
      <c r="BH73" s="7"/>
      <c r="BI73" s="7"/>
      <c r="BJ73" s="7"/>
      <c r="BK73" s="7"/>
    </row>
    <row r="74" ht="22.5" customHeight="1">
      <c r="A74" s="47"/>
      <c r="B74" s="19" t="s">
        <v>156</v>
      </c>
      <c r="C74" s="19" t="s">
        <v>157</v>
      </c>
      <c r="D74" s="45" t="s">
        <v>161</v>
      </c>
      <c r="E74" s="20" t="s">
        <v>72</v>
      </c>
      <c r="F74" s="18"/>
      <c r="G74" s="21"/>
      <c r="H74" s="18"/>
      <c r="I74" s="18"/>
      <c r="J74" s="18"/>
      <c r="K74" s="18"/>
      <c r="L74" s="18"/>
      <c r="M74" s="18"/>
      <c r="N74" s="18"/>
      <c r="O74" s="32">
        <v>0.5</v>
      </c>
      <c r="P74" s="18"/>
      <c r="Q74" s="18"/>
      <c r="R74" s="18"/>
      <c r="S74" s="19"/>
      <c r="T74" s="18"/>
      <c r="U74" s="18"/>
      <c r="V74" s="18"/>
      <c r="W74" s="18"/>
      <c r="X74" s="18"/>
      <c r="Y74" s="18"/>
      <c r="Z74" s="18"/>
      <c r="AA74" s="18"/>
      <c r="AB74" s="20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32">
        <v>0.5</v>
      </c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20"/>
      <c r="BC74" s="18"/>
      <c r="BD74" s="18"/>
      <c r="BE74" s="18"/>
      <c r="BF74" s="7"/>
      <c r="BG74" s="7"/>
      <c r="BH74" s="7"/>
      <c r="BI74" s="7"/>
      <c r="BJ74" s="7"/>
      <c r="BK74" s="7"/>
    </row>
    <row r="75" ht="22.5" customHeight="1">
      <c r="A75" s="47"/>
      <c r="B75" s="19" t="s">
        <v>74</v>
      </c>
      <c r="C75" s="19" t="s">
        <v>75</v>
      </c>
      <c r="D75" s="45" t="s">
        <v>162</v>
      </c>
      <c r="E75" s="20" t="s">
        <v>72</v>
      </c>
      <c r="F75" s="18"/>
      <c r="G75" s="21"/>
      <c r="H75" s="18"/>
      <c r="I75" s="18"/>
      <c r="J75" s="18"/>
      <c r="K75" s="18"/>
      <c r="L75" s="18"/>
      <c r="M75" s="18"/>
      <c r="N75" s="18"/>
      <c r="O75" s="32">
        <v>0.5</v>
      </c>
      <c r="P75" s="18"/>
      <c r="Q75" s="18"/>
      <c r="R75" s="18"/>
      <c r="S75" s="19"/>
      <c r="T75" s="18"/>
      <c r="U75" s="18"/>
      <c r="V75" s="18"/>
      <c r="W75" s="18"/>
      <c r="X75" s="18"/>
      <c r="Y75" s="18"/>
      <c r="Z75" s="18"/>
      <c r="AA75" s="18"/>
      <c r="AB75" s="20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32">
        <v>0.5</v>
      </c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20"/>
      <c r="BC75" s="18"/>
      <c r="BD75" s="18"/>
      <c r="BE75" s="18"/>
      <c r="BF75" s="7"/>
      <c r="BG75" s="7"/>
      <c r="BH75" s="7"/>
      <c r="BI75" s="7"/>
      <c r="BJ75" s="7"/>
      <c r="BK75" s="7"/>
    </row>
    <row r="76" ht="22.5" customHeight="1">
      <c r="A76" s="47"/>
      <c r="B76" s="19" t="s">
        <v>74</v>
      </c>
      <c r="C76" s="19" t="s">
        <v>75</v>
      </c>
      <c r="D76" s="45" t="s">
        <v>159</v>
      </c>
      <c r="E76" s="20" t="s">
        <v>72</v>
      </c>
      <c r="F76" s="18"/>
      <c r="G76" s="21"/>
      <c r="H76" s="18"/>
      <c r="I76" s="18"/>
      <c r="J76" s="18"/>
      <c r="K76" s="18"/>
      <c r="L76" s="18"/>
      <c r="M76" s="18"/>
      <c r="N76" s="18"/>
      <c r="O76" s="32">
        <v>0.15</v>
      </c>
      <c r="P76" s="18"/>
      <c r="Q76" s="18"/>
      <c r="R76" s="18"/>
      <c r="S76" s="19"/>
      <c r="T76" s="18"/>
      <c r="U76" s="18"/>
      <c r="V76" s="18"/>
      <c r="W76" s="18"/>
      <c r="X76" s="18"/>
      <c r="Y76" s="18"/>
      <c r="Z76" s="18"/>
      <c r="AA76" s="18"/>
      <c r="AB76" s="20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32">
        <v>0.15</v>
      </c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20"/>
      <c r="BC76" s="18"/>
      <c r="BD76" s="18"/>
      <c r="BE76" s="18"/>
      <c r="BF76" s="7"/>
      <c r="BG76" s="7"/>
      <c r="BH76" s="7"/>
      <c r="BI76" s="7"/>
      <c r="BJ76" s="7"/>
      <c r="BK76" s="7"/>
    </row>
    <row r="77" ht="22.5" customHeight="1">
      <c r="A77" s="48"/>
      <c r="B77" s="19" t="s">
        <v>147</v>
      </c>
      <c r="C77" s="19" t="s">
        <v>148</v>
      </c>
      <c r="D77" s="45" t="s">
        <v>163</v>
      </c>
      <c r="E77" s="20" t="s">
        <v>164</v>
      </c>
      <c r="F77" s="18"/>
      <c r="G77" s="21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9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7"/>
      <c r="BG77" s="7"/>
      <c r="BH77" s="7"/>
      <c r="BI77" s="7"/>
      <c r="BJ77" s="7"/>
      <c r="BK77" s="7"/>
    </row>
    <row r="78" ht="22.5" customHeight="1">
      <c r="A78" s="49" t="s">
        <v>165</v>
      </c>
      <c r="B78" s="50"/>
      <c r="C78" s="50"/>
      <c r="D78" s="50"/>
      <c r="E78" s="51"/>
      <c r="F78" s="52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1"/>
      <c r="BF78" s="7"/>
      <c r="BG78" s="7"/>
      <c r="BH78" s="7"/>
      <c r="BI78" s="7"/>
      <c r="BJ78" s="7"/>
      <c r="BK78" s="7"/>
    </row>
    <row r="79" ht="22.5" customHeight="1">
      <c r="A79" s="53" t="s">
        <v>165</v>
      </c>
      <c r="B79" s="54" t="s">
        <v>154</v>
      </c>
      <c r="C79" s="54" t="s">
        <v>108</v>
      </c>
      <c r="D79" s="55" t="s">
        <v>166</v>
      </c>
      <c r="E79" s="56" t="s">
        <v>72</v>
      </c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37"/>
      <c r="T79" s="57"/>
      <c r="U79" s="57"/>
      <c r="V79" s="57"/>
      <c r="W79" s="57"/>
      <c r="X79" s="57"/>
      <c r="Y79" s="57"/>
      <c r="Z79" s="58">
        <v>0.5</v>
      </c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8">
        <v>0.5</v>
      </c>
      <c r="BB79" s="57"/>
      <c r="BC79" s="57"/>
      <c r="BD79" s="57"/>
      <c r="BE79" s="57"/>
      <c r="BF79" s="7"/>
      <c r="BG79" s="7"/>
      <c r="BH79" s="7"/>
      <c r="BI79" s="7"/>
      <c r="BJ79" s="7"/>
      <c r="BK79" s="7"/>
    </row>
    <row r="80" ht="22.5" customHeight="1">
      <c r="A80" s="59"/>
      <c r="B80" s="54" t="s">
        <v>156</v>
      </c>
      <c r="C80" s="54" t="s">
        <v>157</v>
      </c>
      <c r="D80" s="55" t="s">
        <v>166</v>
      </c>
      <c r="E80" s="56" t="s">
        <v>72</v>
      </c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37"/>
      <c r="T80" s="57"/>
      <c r="U80" s="57"/>
      <c r="V80" s="57"/>
      <c r="W80" s="57"/>
      <c r="X80" s="57"/>
      <c r="Y80" s="57"/>
      <c r="Z80" s="58">
        <v>0.5</v>
      </c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8">
        <v>0.5</v>
      </c>
      <c r="BB80" s="57"/>
      <c r="BC80" s="57"/>
      <c r="BD80" s="57"/>
      <c r="BE80" s="57"/>
      <c r="BF80" s="7"/>
      <c r="BG80" s="7"/>
      <c r="BH80" s="7"/>
      <c r="BI80" s="7"/>
      <c r="BJ80" s="7"/>
      <c r="BK80" s="7"/>
    </row>
    <row r="81" ht="22.5" customHeight="1">
      <c r="A81" s="59"/>
      <c r="B81" s="54" t="s">
        <v>116</v>
      </c>
      <c r="C81" s="54" t="s">
        <v>167</v>
      </c>
      <c r="D81" s="55" t="s">
        <v>168</v>
      </c>
      <c r="E81" s="56" t="s">
        <v>63</v>
      </c>
      <c r="F81" s="57"/>
      <c r="G81" s="57"/>
      <c r="H81" s="57"/>
      <c r="I81" s="57"/>
      <c r="J81" s="57"/>
      <c r="K81" s="57"/>
      <c r="L81" s="57"/>
      <c r="M81" s="57"/>
      <c r="N81" s="57"/>
      <c r="O81" s="60">
        <v>0.5</v>
      </c>
      <c r="P81" s="57"/>
      <c r="Q81" s="57"/>
      <c r="R81" s="57"/>
      <c r="S81" s="37"/>
      <c r="T81" s="57"/>
      <c r="U81" s="57"/>
      <c r="V81" s="57"/>
      <c r="W81" s="57"/>
      <c r="X81" s="57"/>
      <c r="Y81" s="57"/>
      <c r="Z81" s="57"/>
      <c r="AA81" s="57"/>
      <c r="AB81" s="60">
        <v>0.5</v>
      </c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60">
        <v>0.5</v>
      </c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60">
        <v>0.5</v>
      </c>
      <c r="BD81" s="57"/>
      <c r="BE81" s="57"/>
      <c r="BF81" s="7"/>
      <c r="BG81" s="7"/>
      <c r="BH81" s="7"/>
      <c r="BI81" s="7"/>
      <c r="BJ81" s="7"/>
      <c r="BK81" s="7"/>
    </row>
    <row r="82" ht="22.5" customHeight="1">
      <c r="A82" s="59"/>
      <c r="B82" s="54" t="s">
        <v>111</v>
      </c>
      <c r="C82" s="54" t="s">
        <v>169</v>
      </c>
      <c r="D82" s="55" t="s">
        <v>168</v>
      </c>
      <c r="E82" s="56" t="s">
        <v>63</v>
      </c>
      <c r="F82" s="57"/>
      <c r="G82" s="57"/>
      <c r="H82" s="57"/>
      <c r="I82" s="57"/>
      <c r="J82" s="57"/>
      <c r="K82" s="57"/>
      <c r="L82" s="57"/>
      <c r="M82" s="57"/>
      <c r="N82" s="57"/>
      <c r="O82" s="60">
        <v>0.5</v>
      </c>
      <c r="P82" s="57"/>
      <c r="Q82" s="57"/>
      <c r="R82" s="57"/>
      <c r="S82" s="37"/>
      <c r="T82" s="57"/>
      <c r="U82" s="57"/>
      <c r="V82" s="57"/>
      <c r="W82" s="57"/>
      <c r="X82" s="57"/>
      <c r="Y82" s="57"/>
      <c r="Z82" s="57"/>
      <c r="AA82" s="57"/>
      <c r="AB82" s="60">
        <v>0.5</v>
      </c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60">
        <v>0.5</v>
      </c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60">
        <v>0.5</v>
      </c>
      <c r="BD82" s="57"/>
      <c r="BE82" s="57"/>
      <c r="BF82" s="7"/>
      <c r="BG82" s="7"/>
      <c r="BH82" s="7"/>
      <c r="BI82" s="7"/>
      <c r="BJ82" s="7"/>
      <c r="BK82" s="7"/>
    </row>
    <row r="83" ht="22.5" customHeight="1">
      <c r="A83" s="61"/>
      <c r="B83" s="54" t="s">
        <v>120</v>
      </c>
      <c r="C83" s="54" t="s">
        <v>170</v>
      </c>
      <c r="D83" s="55" t="s">
        <v>168</v>
      </c>
      <c r="E83" s="56" t="s">
        <v>63</v>
      </c>
      <c r="F83" s="57"/>
      <c r="G83" s="57"/>
      <c r="H83" s="57"/>
      <c r="I83" s="57"/>
      <c r="J83" s="57"/>
      <c r="K83" s="57"/>
      <c r="L83" s="57"/>
      <c r="M83" s="57"/>
      <c r="N83" s="57"/>
      <c r="O83" s="60">
        <v>0.5</v>
      </c>
      <c r="P83" s="57"/>
      <c r="Q83" s="57"/>
      <c r="R83" s="57"/>
      <c r="S83" s="37"/>
      <c r="T83" s="57"/>
      <c r="U83" s="57"/>
      <c r="V83" s="57"/>
      <c r="W83" s="57"/>
      <c r="X83" s="57"/>
      <c r="Y83" s="57"/>
      <c r="Z83" s="57"/>
      <c r="AA83" s="57"/>
      <c r="AB83" s="60">
        <v>0.5</v>
      </c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60">
        <v>0.5</v>
      </c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60">
        <v>0.5</v>
      </c>
      <c r="BD83" s="57"/>
      <c r="BE83" s="57"/>
      <c r="BF83" s="7"/>
      <c r="BG83" s="7"/>
      <c r="BH83" s="7"/>
      <c r="BI83" s="7"/>
      <c r="BJ83" s="7"/>
      <c r="BK83" s="7"/>
    </row>
    <row r="84" ht="22.5" customHeight="1">
      <c r="A84" s="62" t="s">
        <v>171</v>
      </c>
      <c r="B84" s="50"/>
      <c r="C84" s="50"/>
      <c r="D84" s="50"/>
      <c r="E84" s="51"/>
      <c r="F84" s="52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1"/>
      <c r="BF84" s="7"/>
      <c r="BG84" s="7"/>
      <c r="BH84" s="7"/>
      <c r="BI84" s="7"/>
      <c r="BJ84" s="7"/>
      <c r="BK84" s="7"/>
    </row>
    <row r="85" ht="22.5" customHeight="1">
      <c r="A85" s="63"/>
      <c r="B85" s="64" t="s">
        <v>172</v>
      </c>
      <c r="C85" s="64" t="s">
        <v>173</v>
      </c>
      <c r="D85" s="65" t="s">
        <v>174</v>
      </c>
      <c r="E85" s="66" t="s">
        <v>63</v>
      </c>
      <c r="F85" s="57"/>
      <c r="G85" s="57"/>
      <c r="H85" s="57"/>
      <c r="I85" s="57"/>
      <c r="J85" s="57"/>
      <c r="K85" s="57"/>
      <c r="L85" s="57"/>
      <c r="M85" s="57"/>
      <c r="N85" s="57"/>
      <c r="O85" s="60">
        <v>0.2</v>
      </c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60">
        <v>0.2</v>
      </c>
      <c r="AB85" s="57"/>
      <c r="AC85" s="57"/>
      <c r="AD85" s="57"/>
      <c r="AE85" s="57"/>
      <c r="AF85" s="57"/>
      <c r="AG85" s="21"/>
      <c r="AH85" s="57"/>
      <c r="AI85" s="57"/>
      <c r="AJ85" s="57"/>
      <c r="AK85" s="21"/>
      <c r="AL85" s="57"/>
      <c r="AM85" s="57"/>
      <c r="AN85" s="57"/>
      <c r="AO85" s="57"/>
      <c r="AP85" s="57"/>
      <c r="AQ85" s="60">
        <v>0.2</v>
      </c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60">
        <v>0.2</v>
      </c>
      <c r="BD85" s="57"/>
      <c r="BE85" s="57"/>
      <c r="BF85" s="7"/>
      <c r="BG85" s="7"/>
      <c r="BH85" s="7"/>
      <c r="BI85" s="7"/>
      <c r="BJ85" s="7"/>
      <c r="BK85" s="7"/>
    </row>
    <row r="86" ht="22.5" customHeight="1">
      <c r="A86" s="50"/>
      <c r="B86" s="64" t="s">
        <v>172</v>
      </c>
      <c r="C86" s="64" t="s">
        <v>173</v>
      </c>
      <c r="D86" s="65" t="s">
        <v>175</v>
      </c>
      <c r="E86" s="66" t="s">
        <v>63</v>
      </c>
      <c r="F86" s="57"/>
      <c r="G86" s="57"/>
      <c r="H86" s="57"/>
      <c r="I86" s="57"/>
      <c r="J86" s="57"/>
      <c r="K86" s="57"/>
      <c r="L86" s="57"/>
      <c r="M86" s="57"/>
      <c r="N86" s="57"/>
      <c r="O86" s="60">
        <v>0.5</v>
      </c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60">
        <v>0.5</v>
      </c>
      <c r="AB86" s="57"/>
      <c r="AC86" s="57"/>
      <c r="AD86" s="57"/>
      <c r="AE86" s="57"/>
      <c r="AF86" s="57"/>
      <c r="AG86" s="21"/>
      <c r="AH86" s="57"/>
      <c r="AI86" s="57"/>
      <c r="AJ86" s="57"/>
      <c r="AK86" s="21"/>
      <c r="AL86" s="57"/>
      <c r="AM86" s="57"/>
      <c r="AN86" s="57"/>
      <c r="AO86" s="57"/>
      <c r="AP86" s="57"/>
      <c r="AQ86" s="60">
        <v>0.5</v>
      </c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60">
        <v>0.5</v>
      </c>
      <c r="BD86" s="57"/>
      <c r="BE86" s="57"/>
      <c r="BF86" s="7"/>
      <c r="BG86" s="7"/>
      <c r="BH86" s="7"/>
      <c r="BI86" s="7"/>
      <c r="BJ86" s="7"/>
      <c r="BK86" s="7"/>
    </row>
    <row r="87" ht="22.5" customHeight="1">
      <c r="A87" s="63"/>
      <c r="B87" s="64" t="s">
        <v>176</v>
      </c>
      <c r="C87" s="64" t="s">
        <v>177</v>
      </c>
      <c r="D87" s="65" t="s">
        <v>174</v>
      </c>
      <c r="E87" s="66" t="s">
        <v>63</v>
      </c>
      <c r="F87" s="57"/>
      <c r="G87" s="57"/>
      <c r="H87" s="57"/>
      <c r="I87" s="57"/>
      <c r="J87" s="57"/>
      <c r="K87" s="57"/>
      <c r="L87" s="57"/>
      <c r="M87" s="57"/>
      <c r="N87" s="57"/>
      <c r="O87" s="60">
        <v>0.2</v>
      </c>
      <c r="P87" s="57"/>
      <c r="Q87" s="57"/>
      <c r="R87" s="57"/>
      <c r="S87" s="37"/>
      <c r="T87" s="57"/>
      <c r="U87" s="57"/>
      <c r="V87" s="57"/>
      <c r="W87" s="57"/>
      <c r="X87" s="57"/>
      <c r="Y87" s="57"/>
      <c r="Z87" s="57"/>
      <c r="AA87" s="60">
        <v>0.2</v>
      </c>
      <c r="AB87" s="57"/>
      <c r="AC87" s="57"/>
      <c r="AD87" s="57"/>
      <c r="AE87" s="57"/>
      <c r="AF87" s="57"/>
      <c r="AG87" s="21"/>
      <c r="AH87" s="57"/>
      <c r="AI87" s="57"/>
      <c r="AJ87" s="57"/>
      <c r="AK87" s="21"/>
      <c r="AL87" s="57"/>
      <c r="AM87" s="57"/>
      <c r="AN87" s="57"/>
      <c r="AO87" s="57"/>
      <c r="AP87" s="57"/>
      <c r="AQ87" s="60">
        <v>0.2</v>
      </c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60">
        <v>0.2</v>
      </c>
      <c r="BD87" s="57"/>
      <c r="BE87" s="57"/>
      <c r="BF87" s="7"/>
      <c r="BG87" s="7"/>
      <c r="BH87" s="7"/>
      <c r="BI87" s="7"/>
      <c r="BJ87" s="7"/>
      <c r="BK87" s="7"/>
    </row>
    <row r="88" ht="22.5" customHeight="1">
      <c r="A88" s="67"/>
      <c r="B88" s="64" t="s">
        <v>178</v>
      </c>
      <c r="C88" s="64" t="s">
        <v>179</v>
      </c>
      <c r="D88" s="65" t="s">
        <v>180</v>
      </c>
      <c r="E88" s="66" t="s">
        <v>65</v>
      </c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68">
        <v>0.2</v>
      </c>
      <c r="AB88" s="57"/>
      <c r="AC88" s="57"/>
      <c r="AD88" s="57"/>
      <c r="AE88" s="57"/>
      <c r="AF88" s="57"/>
      <c r="AG88" s="21"/>
      <c r="AH88" s="57"/>
      <c r="AI88" s="57"/>
      <c r="AJ88" s="57"/>
      <c r="AK88" s="21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7"/>
      <c r="BG88" s="7"/>
      <c r="BH88" s="7"/>
      <c r="BI88" s="7"/>
      <c r="BJ88" s="7"/>
      <c r="BK88" s="7"/>
    </row>
    <row r="89" ht="22.5" customHeight="1">
      <c r="A89" s="53"/>
      <c r="B89" s="64" t="s">
        <v>181</v>
      </c>
      <c r="C89" s="64" t="s">
        <v>182</v>
      </c>
      <c r="D89" s="65" t="s">
        <v>183</v>
      </c>
      <c r="E89" s="66" t="s">
        <v>63</v>
      </c>
      <c r="F89" s="57"/>
      <c r="G89" s="57"/>
      <c r="H89" s="57"/>
      <c r="I89" s="57"/>
      <c r="J89" s="57"/>
      <c r="K89" s="57"/>
      <c r="L89" s="57"/>
      <c r="M89" s="57"/>
      <c r="N89" s="57"/>
      <c r="O89" s="60">
        <v>0.5</v>
      </c>
      <c r="P89" s="57"/>
      <c r="Q89" s="57"/>
      <c r="R89" s="57"/>
      <c r="S89" s="37"/>
      <c r="T89" s="57"/>
      <c r="U89" s="57"/>
      <c r="V89" s="57"/>
      <c r="W89" s="57"/>
      <c r="X89" s="57"/>
      <c r="Y89" s="57"/>
      <c r="Z89" s="57"/>
      <c r="AA89" s="60">
        <v>0.5</v>
      </c>
      <c r="AB89" s="57"/>
      <c r="AC89" s="57"/>
      <c r="AD89" s="57"/>
      <c r="AE89" s="57"/>
      <c r="AF89" s="57"/>
      <c r="AG89" s="21"/>
      <c r="AH89" s="57"/>
      <c r="AI89" s="57"/>
      <c r="AJ89" s="57"/>
      <c r="AK89" s="21"/>
      <c r="AL89" s="57"/>
      <c r="AM89" s="57"/>
      <c r="AN89" s="57"/>
      <c r="AO89" s="57"/>
      <c r="AP89" s="57"/>
      <c r="AQ89" s="60">
        <v>0.5</v>
      </c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60">
        <v>0.5</v>
      </c>
      <c r="BD89" s="57"/>
      <c r="BE89" s="57"/>
      <c r="BF89" s="7"/>
      <c r="BG89" s="7"/>
      <c r="BH89" s="7"/>
      <c r="BI89" s="7"/>
      <c r="BJ89" s="7"/>
      <c r="BK89" s="7"/>
    </row>
    <row r="90" ht="22.5" customHeight="1">
      <c r="A90" s="61"/>
      <c r="B90" s="64" t="s">
        <v>181</v>
      </c>
      <c r="C90" s="64" t="s">
        <v>182</v>
      </c>
      <c r="D90" s="65" t="s">
        <v>184</v>
      </c>
      <c r="E90" s="66" t="s">
        <v>72</v>
      </c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37"/>
      <c r="T90" s="57"/>
      <c r="U90" s="57"/>
      <c r="V90" s="57"/>
      <c r="W90" s="57"/>
      <c r="X90" s="57"/>
      <c r="Y90" s="57"/>
      <c r="Z90" s="57"/>
      <c r="AA90" s="58">
        <v>0.2</v>
      </c>
      <c r="AB90" s="57"/>
      <c r="AC90" s="57"/>
      <c r="AD90" s="57"/>
      <c r="AE90" s="57"/>
      <c r="AF90" s="57"/>
      <c r="AG90" s="21"/>
      <c r="AH90" s="57"/>
      <c r="AI90" s="57"/>
      <c r="AJ90" s="57"/>
      <c r="AK90" s="21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8">
        <v>0.2</v>
      </c>
      <c r="AZ90" s="57"/>
      <c r="BA90" s="57"/>
      <c r="BB90" s="57"/>
      <c r="BC90" s="57"/>
      <c r="BD90" s="57"/>
      <c r="BE90" s="57"/>
      <c r="BF90" s="7"/>
      <c r="BG90" s="7"/>
      <c r="BH90" s="7"/>
      <c r="BI90" s="7"/>
      <c r="BJ90" s="7"/>
      <c r="BK90" s="7"/>
    </row>
    <row r="91" ht="22.5" customHeight="1">
      <c r="A91" s="53"/>
      <c r="B91" s="64" t="s">
        <v>185</v>
      </c>
      <c r="C91" s="64" t="s">
        <v>186</v>
      </c>
      <c r="D91" s="65" t="s">
        <v>187</v>
      </c>
      <c r="E91" s="66" t="s">
        <v>63</v>
      </c>
      <c r="F91" s="57"/>
      <c r="G91" s="57"/>
      <c r="H91" s="57"/>
      <c r="I91" s="57"/>
      <c r="J91" s="57"/>
      <c r="K91" s="57"/>
      <c r="L91" s="57"/>
      <c r="M91" s="57"/>
      <c r="N91" s="57"/>
      <c r="O91" s="60">
        <v>0.2</v>
      </c>
      <c r="P91" s="57"/>
      <c r="Q91" s="57"/>
      <c r="R91" s="57"/>
      <c r="S91" s="3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21"/>
      <c r="AH91" s="57"/>
      <c r="AI91" s="57"/>
      <c r="AJ91" s="57"/>
      <c r="AK91" s="21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7"/>
      <c r="BG91" s="7"/>
      <c r="BH91" s="7"/>
      <c r="BI91" s="7"/>
      <c r="BJ91" s="7"/>
      <c r="BK91" s="7"/>
    </row>
    <row r="92" ht="22.5" customHeight="1">
      <c r="A92" s="61"/>
      <c r="B92" s="64" t="s">
        <v>185</v>
      </c>
      <c r="C92" s="64" t="s">
        <v>186</v>
      </c>
      <c r="D92" s="65" t="s">
        <v>184</v>
      </c>
      <c r="E92" s="66" t="s">
        <v>72</v>
      </c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37"/>
      <c r="T92" s="57"/>
      <c r="U92" s="57"/>
      <c r="V92" s="57"/>
      <c r="W92" s="57"/>
      <c r="X92" s="57"/>
      <c r="Y92" s="57"/>
      <c r="Z92" s="57"/>
      <c r="AA92" s="58">
        <v>0.2</v>
      </c>
      <c r="AB92" s="57"/>
      <c r="AC92" s="57"/>
      <c r="AD92" s="57"/>
      <c r="AE92" s="57"/>
      <c r="AF92" s="57"/>
      <c r="AG92" s="21"/>
      <c r="AH92" s="57"/>
      <c r="AI92" s="57"/>
      <c r="AJ92" s="57"/>
      <c r="AK92" s="21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60">
        <v>0.2</v>
      </c>
      <c r="AZ92" s="57"/>
      <c r="BA92" s="57"/>
      <c r="BB92" s="57"/>
      <c r="BC92" s="57"/>
      <c r="BD92" s="57"/>
      <c r="BE92" s="57"/>
      <c r="BF92" s="7"/>
      <c r="BG92" s="7"/>
      <c r="BH92" s="7"/>
      <c r="BI92" s="7"/>
      <c r="BJ92" s="7"/>
      <c r="BK92" s="7"/>
    </row>
    <row r="93">
      <c r="A93" s="67"/>
      <c r="B93" s="64" t="s">
        <v>188</v>
      </c>
      <c r="C93" s="64" t="s">
        <v>189</v>
      </c>
      <c r="D93" s="65" t="s">
        <v>190</v>
      </c>
      <c r="E93" s="66" t="s">
        <v>63</v>
      </c>
      <c r="F93" s="57"/>
      <c r="G93" s="57"/>
      <c r="H93" s="57"/>
      <c r="I93" s="57"/>
      <c r="J93" s="57"/>
      <c r="K93" s="57"/>
      <c r="L93" s="57"/>
      <c r="M93" s="57"/>
      <c r="N93" s="57"/>
      <c r="O93" s="60">
        <v>0.5</v>
      </c>
      <c r="P93" s="57"/>
      <c r="Q93" s="57"/>
      <c r="R93" s="57"/>
      <c r="S93" s="3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21"/>
      <c r="AH93" s="57"/>
      <c r="AI93" s="60">
        <v>0.5</v>
      </c>
      <c r="AJ93" s="57"/>
      <c r="AK93" s="21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60">
        <v>0.5</v>
      </c>
      <c r="AZ93" s="57"/>
      <c r="BA93" s="57"/>
      <c r="BB93" s="57"/>
      <c r="BC93" s="57"/>
      <c r="BD93" s="57"/>
      <c r="BE93" s="57"/>
      <c r="BF93" s="7"/>
      <c r="BG93" s="7"/>
      <c r="BH93" s="7"/>
      <c r="BI93" s="7"/>
      <c r="BJ93" s="7"/>
      <c r="BK93" s="7"/>
    </row>
    <row r="94" ht="22.5" customHeight="1">
      <c r="A94" s="7"/>
      <c r="B94" s="7"/>
      <c r="C94" s="7"/>
      <c r="D94" s="69" t="s">
        <v>191</v>
      </c>
      <c r="E94" s="51"/>
      <c r="F94" s="70">
        <f t="shared" ref="F94:BE94" si="1">SUM(F5:F93)</f>
        <v>0</v>
      </c>
      <c r="G94" s="70">
        <f t="shared" si="1"/>
        <v>0.75</v>
      </c>
      <c r="H94" s="70">
        <f t="shared" si="1"/>
        <v>0</v>
      </c>
      <c r="I94" s="70">
        <f t="shared" si="1"/>
        <v>0</v>
      </c>
      <c r="J94" s="70">
        <f t="shared" si="1"/>
        <v>0.35</v>
      </c>
      <c r="K94" s="70">
        <f t="shared" si="1"/>
        <v>0.6</v>
      </c>
      <c r="L94" s="70">
        <f t="shared" si="1"/>
        <v>0</v>
      </c>
      <c r="M94" s="70">
        <f t="shared" si="1"/>
        <v>0</v>
      </c>
      <c r="N94" s="70">
        <f t="shared" si="1"/>
        <v>9.5</v>
      </c>
      <c r="O94" s="70">
        <f t="shared" si="1"/>
        <v>10.95</v>
      </c>
      <c r="P94" s="70">
        <f t="shared" si="1"/>
        <v>0</v>
      </c>
      <c r="Q94" s="70">
        <f t="shared" si="1"/>
        <v>0</v>
      </c>
      <c r="R94" s="70">
        <f t="shared" si="1"/>
        <v>0</v>
      </c>
      <c r="S94" s="70">
        <f t="shared" si="1"/>
        <v>0.65</v>
      </c>
      <c r="T94" s="70">
        <f t="shared" si="1"/>
        <v>0.1</v>
      </c>
      <c r="U94" s="70">
        <f t="shared" si="1"/>
        <v>0</v>
      </c>
      <c r="V94" s="70">
        <f t="shared" si="1"/>
        <v>0</v>
      </c>
      <c r="W94" s="70">
        <f t="shared" si="1"/>
        <v>10.5</v>
      </c>
      <c r="X94" s="70">
        <f t="shared" si="1"/>
        <v>0</v>
      </c>
      <c r="Y94" s="70">
        <f t="shared" si="1"/>
        <v>0</v>
      </c>
      <c r="Z94" s="70">
        <f t="shared" si="1"/>
        <v>3</v>
      </c>
      <c r="AA94" s="70">
        <f t="shared" si="1"/>
        <v>13.05</v>
      </c>
      <c r="AB94" s="70">
        <f t="shared" si="1"/>
        <v>1.5</v>
      </c>
      <c r="AC94" s="70">
        <f t="shared" si="1"/>
        <v>11.95</v>
      </c>
      <c r="AD94" s="70">
        <f t="shared" si="1"/>
        <v>0</v>
      </c>
      <c r="AE94" s="70">
        <f t="shared" si="1"/>
        <v>0.4</v>
      </c>
      <c r="AF94" s="70">
        <f t="shared" si="1"/>
        <v>0</v>
      </c>
      <c r="AG94" s="70">
        <f t="shared" si="1"/>
        <v>0.45</v>
      </c>
      <c r="AH94" s="70">
        <f t="shared" si="1"/>
        <v>0</v>
      </c>
      <c r="AI94" s="70">
        <f t="shared" si="1"/>
        <v>1.65</v>
      </c>
      <c r="AJ94" s="70">
        <f t="shared" si="1"/>
        <v>0</v>
      </c>
      <c r="AK94" s="70">
        <f t="shared" si="1"/>
        <v>2.2</v>
      </c>
      <c r="AL94" s="70">
        <f t="shared" si="1"/>
        <v>0</v>
      </c>
      <c r="AM94" s="70">
        <f t="shared" si="1"/>
        <v>0.3</v>
      </c>
      <c r="AN94" s="70">
        <f t="shared" si="1"/>
        <v>0</v>
      </c>
      <c r="AO94" s="70">
        <f t="shared" si="1"/>
        <v>14.2</v>
      </c>
      <c r="AP94" s="70">
        <f t="shared" si="1"/>
        <v>1.5</v>
      </c>
      <c r="AQ94" s="70">
        <f t="shared" si="1"/>
        <v>8.5</v>
      </c>
      <c r="AR94" s="70">
        <f t="shared" si="1"/>
        <v>0</v>
      </c>
      <c r="AS94" s="70">
        <f t="shared" si="1"/>
        <v>0</v>
      </c>
      <c r="AT94" s="70">
        <f t="shared" si="1"/>
        <v>0</v>
      </c>
      <c r="AU94" s="70">
        <f t="shared" si="1"/>
        <v>0.3</v>
      </c>
      <c r="AV94" s="70">
        <f t="shared" si="1"/>
        <v>0</v>
      </c>
      <c r="AW94" s="70">
        <f t="shared" si="1"/>
        <v>0</v>
      </c>
      <c r="AX94" s="70">
        <f t="shared" si="1"/>
        <v>0</v>
      </c>
      <c r="AY94" s="70">
        <f t="shared" si="1"/>
        <v>1.65</v>
      </c>
      <c r="AZ94" s="70">
        <f t="shared" si="1"/>
        <v>0</v>
      </c>
      <c r="BA94" s="70">
        <f t="shared" si="1"/>
        <v>14.5</v>
      </c>
      <c r="BB94" s="70">
        <f t="shared" si="1"/>
        <v>27.5</v>
      </c>
      <c r="BC94" s="70">
        <f t="shared" si="1"/>
        <v>4.55</v>
      </c>
      <c r="BD94" s="70">
        <f t="shared" si="1"/>
        <v>0</v>
      </c>
      <c r="BE94" s="70">
        <f t="shared" si="1"/>
        <v>7.35</v>
      </c>
      <c r="BF94" s="71"/>
      <c r="BG94" s="71"/>
      <c r="BH94" s="71"/>
      <c r="BI94" s="71"/>
      <c r="BJ94" s="71"/>
      <c r="BK94" s="71"/>
    </row>
    <row r="95" ht="22.5" customHeight="1">
      <c r="A95" s="7"/>
      <c r="B95" s="7"/>
      <c r="C95" s="7"/>
      <c r="D95" s="72" t="s">
        <v>192</v>
      </c>
      <c r="E95" s="5"/>
      <c r="F95" s="73">
        <f t="shared" ref="F95:BE95" si="2">44*0.8</f>
        <v>35.2</v>
      </c>
      <c r="G95" s="73">
        <f t="shared" si="2"/>
        <v>35.2</v>
      </c>
      <c r="H95" s="73">
        <f t="shared" si="2"/>
        <v>35.2</v>
      </c>
      <c r="I95" s="73">
        <f t="shared" si="2"/>
        <v>35.2</v>
      </c>
      <c r="J95" s="73">
        <f t="shared" si="2"/>
        <v>35.2</v>
      </c>
      <c r="K95" s="73">
        <f t="shared" si="2"/>
        <v>35.2</v>
      </c>
      <c r="L95" s="73">
        <f t="shared" si="2"/>
        <v>35.2</v>
      </c>
      <c r="M95" s="73">
        <f t="shared" si="2"/>
        <v>35.2</v>
      </c>
      <c r="N95" s="73">
        <f t="shared" si="2"/>
        <v>35.2</v>
      </c>
      <c r="O95" s="73">
        <f t="shared" si="2"/>
        <v>35.2</v>
      </c>
      <c r="P95" s="73">
        <f t="shared" si="2"/>
        <v>35.2</v>
      </c>
      <c r="Q95" s="73">
        <f t="shared" si="2"/>
        <v>35.2</v>
      </c>
      <c r="R95" s="73">
        <f t="shared" si="2"/>
        <v>35.2</v>
      </c>
      <c r="S95" s="73">
        <f t="shared" si="2"/>
        <v>35.2</v>
      </c>
      <c r="T95" s="73">
        <f t="shared" si="2"/>
        <v>35.2</v>
      </c>
      <c r="U95" s="73">
        <f t="shared" si="2"/>
        <v>35.2</v>
      </c>
      <c r="V95" s="73">
        <f t="shared" si="2"/>
        <v>35.2</v>
      </c>
      <c r="W95" s="73">
        <f t="shared" si="2"/>
        <v>35.2</v>
      </c>
      <c r="X95" s="73">
        <f t="shared" si="2"/>
        <v>35.2</v>
      </c>
      <c r="Y95" s="73">
        <f t="shared" si="2"/>
        <v>35.2</v>
      </c>
      <c r="Z95" s="73">
        <f t="shared" si="2"/>
        <v>35.2</v>
      </c>
      <c r="AA95" s="73">
        <f t="shared" si="2"/>
        <v>35.2</v>
      </c>
      <c r="AB95" s="73">
        <f t="shared" si="2"/>
        <v>35.2</v>
      </c>
      <c r="AC95" s="73">
        <f t="shared" si="2"/>
        <v>35.2</v>
      </c>
      <c r="AD95" s="73">
        <f t="shared" si="2"/>
        <v>35.2</v>
      </c>
      <c r="AE95" s="73">
        <f t="shared" si="2"/>
        <v>35.2</v>
      </c>
      <c r="AF95" s="73">
        <f t="shared" si="2"/>
        <v>35.2</v>
      </c>
      <c r="AG95" s="73">
        <f t="shared" si="2"/>
        <v>35.2</v>
      </c>
      <c r="AH95" s="73">
        <f t="shared" si="2"/>
        <v>35.2</v>
      </c>
      <c r="AI95" s="73">
        <f t="shared" si="2"/>
        <v>35.2</v>
      </c>
      <c r="AJ95" s="73">
        <f t="shared" si="2"/>
        <v>35.2</v>
      </c>
      <c r="AK95" s="73">
        <f t="shared" si="2"/>
        <v>35.2</v>
      </c>
      <c r="AL95" s="73">
        <f t="shared" si="2"/>
        <v>35.2</v>
      </c>
      <c r="AM95" s="73">
        <f t="shared" si="2"/>
        <v>35.2</v>
      </c>
      <c r="AN95" s="73">
        <f t="shared" si="2"/>
        <v>35.2</v>
      </c>
      <c r="AO95" s="73">
        <f t="shared" si="2"/>
        <v>35.2</v>
      </c>
      <c r="AP95" s="73">
        <f t="shared" si="2"/>
        <v>35.2</v>
      </c>
      <c r="AQ95" s="73">
        <f t="shared" si="2"/>
        <v>35.2</v>
      </c>
      <c r="AR95" s="73">
        <f t="shared" si="2"/>
        <v>35.2</v>
      </c>
      <c r="AS95" s="73">
        <f t="shared" si="2"/>
        <v>35.2</v>
      </c>
      <c r="AT95" s="73">
        <f t="shared" si="2"/>
        <v>35.2</v>
      </c>
      <c r="AU95" s="73">
        <f t="shared" si="2"/>
        <v>35.2</v>
      </c>
      <c r="AV95" s="73">
        <f t="shared" si="2"/>
        <v>35.2</v>
      </c>
      <c r="AW95" s="73">
        <f t="shared" si="2"/>
        <v>35.2</v>
      </c>
      <c r="AX95" s="73">
        <f t="shared" si="2"/>
        <v>35.2</v>
      </c>
      <c r="AY95" s="73">
        <f t="shared" si="2"/>
        <v>35.2</v>
      </c>
      <c r="AZ95" s="73">
        <f t="shared" si="2"/>
        <v>35.2</v>
      </c>
      <c r="BA95" s="73">
        <f t="shared" si="2"/>
        <v>35.2</v>
      </c>
      <c r="BB95" s="73">
        <f t="shared" si="2"/>
        <v>35.2</v>
      </c>
      <c r="BC95" s="73">
        <f t="shared" si="2"/>
        <v>35.2</v>
      </c>
      <c r="BD95" s="73">
        <f t="shared" si="2"/>
        <v>35.2</v>
      </c>
      <c r="BE95" s="73">
        <f t="shared" si="2"/>
        <v>35.2</v>
      </c>
      <c r="BF95" s="71"/>
      <c r="BG95" s="71"/>
      <c r="BH95" s="71"/>
      <c r="BI95" s="71"/>
      <c r="BJ95" s="71"/>
      <c r="BK95" s="71"/>
    </row>
    <row r="96" ht="22.5" customHeight="1">
      <c r="A96" s="7"/>
      <c r="B96" s="7"/>
      <c r="C96" s="7"/>
      <c r="D96" s="72" t="s">
        <v>193</v>
      </c>
      <c r="E96" s="5"/>
      <c r="F96" s="73">
        <f t="shared" ref="F96:BE96" si="3">0.6*F95</f>
        <v>21.12</v>
      </c>
      <c r="G96" s="73">
        <f t="shared" si="3"/>
        <v>21.12</v>
      </c>
      <c r="H96" s="73">
        <f t="shared" si="3"/>
        <v>21.12</v>
      </c>
      <c r="I96" s="73">
        <f t="shared" si="3"/>
        <v>21.12</v>
      </c>
      <c r="J96" s="73">
        <f t="shared" si="3"/>
        <v>21.12</v>
      </c>
      <c r="K96" s="73">
        <f t="shared" si="3"/>
        <v>21.12</v>
      </c>
      <c r="L96" s="73">
        <f t="shared" si="3"/>
        <v>21.12</v>
      </c>
      <c r="M96" s="73">
        <f t="shared" si="3"/>
        <v>21.12</v>
      </c>
      <c r="N96" s="73">
        <f t="shared" si="3"/>
        <v>21.12</v>
      </c>
      <c r="O96" s="73">
        <f t="shared" si="3"/>
        <v>21.12</v>
      </c>
      <c r="P96" s="73">
        <f t="shared" si="3"/>
        <v>21.12</v>
      </c>
      <c r="Q96" s="73">
        <f t="shared" si="3"/>
        <v>21.12</v>
      </c>
      <c r="R96" s="73">
        <f t="shared" si="3"/>
        <v>21.12</v>
      </c>
      <c r="S96" s="74">
        <f t="shared" si="3"/>
        <v>21.12</v>
      </c>
      <c r="T96" s="73">
        <f t="shared" si="3"/>
        <v>21.12</v>
      </c>
      <c r="U96" s="73">
        <f t="shared" si="3"/>
        <v>21.12</v>
      </c>
      <c r="V96" s="73">
        <f t="shared" si="3"/>
        <v>21.12</v>
      </c>
      <c r="W96" s="73">
        <f t="shared" si="3"/>
        <v>21.12</v>
      </c>
      <c r="X96" s="73">
        <f t="shared" si="3"/>
        <v>21.12</v>
      </c>
      <c r="Y96" s="73">
        <f t="shared" si="3"/>
        <v>21.12</v>
      </c>
      <c r="Z96" s="73">
        <f t="shared" si="3"/>
        <v>21.12</v>
      </c>
      <c r="AA96" s="73">
        <f t="shared" si="3"/>
        <v>21.12</v>
      </c>
      <c r="AB96" s="73">
        <f t="shared" si="3"/>
        <v>21.12</v>
      </c>
      <c r="AC96" s="73">
        <f t="shared" si="3"/>
        <v>21.12</v>
      </c>
      <c r="AD96" s="73">
        <f t="shared" si="3"/>
        <v>21.12</v>
      </c>
      <c r="AE96" s="73">
        <f t="shared" si="3"/>
        <v>21.12</v>
      </c>
      <c r="AF96" s="73">
        <f t="shared" si="3"/>
        <v>21.12</v>
      </c>
      <c r="AG96" s="73">
        <f t="shared" si="3"/>
        <v>21.12</v>
      </c>
      <c r="AH96" s="73">
        <f t="shared" si="3"/>
        <v>21.12</v>
      </c>
      <c r="AI96" s="73">
        <f t="shared" si="3"/>
        <v>21.12</v>
      </c>
      <c r="AJ96" s="73">
        <f t="shared" si="3"/>
        <v>21.12</v>
      </c>
      <c r="AK96" s="73">
        <f t="shared" si="3"/>
        <v>21.12</v>
      </c>
      <c r="AL96" s="73">
        <f t="shared" si="3"/>
        <v>21.12</v>
      </c>
      <c r="AM96" s="73">
        <f t="shared" si="3"/>
        <v>21.12</v>
      </c>
      <c r="AN96" s="73">
        <f t="shared" si="3"/>
        <v>21.12</v>
      </c>
      <c r="AO96" s="73">
        <f t="shared" si="3"/>
        <v>21.12</v>
      </c>
      <c r="AP96" s="73">
        <f t="shared" si="3"/>
        <v>21.12</v>
      </c>
      <c r="AQ96" s="73">
        <f t="shared" si="3"/>
        <v>21.12</v>
      </c>
      <c r="AR96" s="73">
        <f t="shared" si="3"/>
        <v>21.12</v>
      </c>
      <c r="AS96" s="73">
        <f t="shared" si="3"/>
        <v>21.12</v>
      </c>
      <c r="AT96" s="73">
        <f t="shared" si="3"/>
        <v>21.12</v>
      </c>
      <c r="AU96" s="73">
        <f t="shared" si="3"/>
        <v>21.12</v>
      </c>
      <c r="AV96" s="73">
        <f t="shared" si="3"/>
        <v>21.12</v>
      </c>
      <c r="AW96" s="73">
        <f t="shared" si="3"/>
        <v>21.12</v>
      </c>
      <c r="AX96" s="73">
        <f t="shared" si="3"/>
        <v>21.12</v>
      </c>
      <c r="AY96" s="73">
        <f t="shared" si="3"/>
        <v>21.12</v>
      </c>
      <c r="AZ96" s="73">
        <f t="shared" si="3"/>
        <v>21.12</v>
      </c>
      <c r="BA96" s="73">
        <f t="shared" si="3"/>
        <v>21.12</v>
      </c>
      <c r="BB96" s="73">
        <f t="shared" si="3"/>
        <v>21.12</v>
      </c>
      <c r="BC96" s="73">
        <f t="shared" si="3"/>
        <v>21.12</v>
      </c>
      <c r="BD96" s="73">
        <f t="shared" si="3"/>
        <v>21.12</v>
      </c>
      <c r="BE96" s="75">
        <f t="shared" si="3"/>
        <v>21.12</v>
      </c>
      <c r="BF96" s="71"/>
      <c r="BG96" s="71"/>
      <c r="BH96" s="71"/>
      <c r="BI96" s="71"/>
      <c r="BJ96" s="71"/>
      <c r="BK96" s="71"/>
    </row>
    <row r="97" ht="22.5" customHeight="1">
      <c r="A97" s="7"/>
      <c r="B97" s="7"/>
      <c r="C97" s="7"/>
      <c r="D97" s="76" t="s">
        <v>194</v>
      </c>
      <c r="E97" s="5"/>
      <c r="F97" s="77">
        <v>30.0</v>
      </c>
      <c r="G97" s="77">
        <v>30.0</v>
      </c>
      <c r="H97" s="77">
        <v>30.0</v>
      </c>
      <c r="I97" s="77">
        <v>30.0</v>
      </c>
      <c r="J97" s="77">
        <v>30.0</v>
      </c>
      <c r="K97" s="77">
        <v>30.0</v>
      </c>
      <c r="L97" s="77">
        <v>30.0</v>
      </c>
      <c r="M97" s="77">
        <v>30.0</v>
      </c>
      <c r="N97" s="77">
        <v>30.0</v>
      </c>
      <c r="O97" s="77">
        <v>30.0</v>
      </c>
      <c r="P97" s="77">
        <v>30.0</v>
      </c>
      <c r="Q97" s="77">
        <v>30.0</v>
      </c>
      <c r="R97" s="77">
        <v>30.0</v>
      </c>
      <c r="S97" s="77">
        <v>30.0</v>
      </c>
      <c r="T97" s="77">
        <v>30.0</v>
      </c>
      <c r="U97" s="77">
        <v>30.0</v>
      </c>
      <c r="V97" s="77">
        <v>30.0</v>
      </c>
      <c r="W97" s="77">
        <v>30.0</v>
      </c>
      <c r="X97" s="77">
        <v>30.0</v>
      </c>
      <c r="Y97" s="77">
        <v>30.0</v>
      </c>
      <c r="Z97" s="77">
        <v>30.0</v>
      </c>
      <c r="AA97" s="77">
        <v>30.0</v>
      </c>
      <c r="AB97" s="77">
        <v>30.0</v>
      </c>
      <c r="AC97" s="77">
        <v>30.0</v>
      </c>
      <c r="AD97" s="77">
        <v>30.0</v>
      </c>
      <c r="AE97" s="77">
        <v>30.0</v>
      </c>
      <c r="AF97" s="77">
        <v>30.0</v>
      </c>
      <c r="AG97" s="77">
        <v>30.0</v>
      </c>
      <c r="AH97" s="77">
        <v>30.0</v>
      </c>
      <c r="AI97" s="77">
        <v>30.0</v>
      </c>
      <c r="AJ97" s="77">
        <v>30.0</v>
      </c>
      <c r="AK97" s="77">
        <v>30.0</v>
      </c>
      <c r="AL97" s="77">
        <v>30.0</v>
      </c>
      <c r="AM97" s="77">
        <v>30.0</v>
      </c>
      <c r="AN97" s="77">
        <v>30.0</v>
      </c>
      <c r="AO97" s="77">
        <v>30.0</v>
      </c>
      <c r="AP97" s="77">
        <v>30.0</v>
      </c>
      <c r="AQ97" s="77">
        <v>30.0</v>
      </c>
      <c r="AR97" s="77">
        <v>30.0</v>
      </c>
      <c r="AS97" s="77">
        <v>30.0</v>
      </c>
      <c r="AT97" s="77">
        <v>30.0</v>
      </c>
      <c r="AU97" s="77">
        <v>30.0</v>
      </c>
      <c r="AV97" s="77">
        <v>30.0</v>
      </c>
      <c r="AW97" s="77">
        <v>30.0</v>
      </c>
      <c r="AX97" s="77">
        <v>30.0</v>
      </c>
      <c r="AY97" s="77">
        <v>30.0</v>
      </c>
      <c r="AZ97" s="77">
        <v>30.0</v>
      </c>
      <c r="BA97" s="77">
        <v>30.0</v>
      </c>
      <c r="BB97" s="77">
        <v>30.0</v>
      </c>
      <c r="BC97" s="77">
        <v>30.0</v>
      </c>
      <c r="BD97" s="77">
        <v>30.0</v>
      </c>
      <c r="BE97" s="77">
        <v>30.0</v>
      </c>
      <c r="BF97" s="71"/>
      <c r="BG97" s="71"/>
      <c r="BH97" s="71"/>
      <c r="BI97" s="71"/>
      <c r="BJ97" s="71"/>
      <c r="BK97" s="71"/>
    </row>
    <row r="98" ht="22.5" customHeight="1">
      <c r="A98" s="7"/>
      <c r="B98" s="7"/>
      <c r="C98" s="7"/>
      <c r="D98" s="72" t="s">
        <v>195</v>
      </c>
      <c r="E98" s="5"/>
      <c r="F98" s="73">
        <f t="shared" ref="F98:BE98" si="4">(F94)/F95</f>
        <v>0</v>
      </c>
      <c r="G98" s="73">
        <f t="shared" si="4"/>
        <v>0.02130681818</v>
      </c>
      <c r="H98" s="73">
        <f t="shared" si="4"/>
        <v>0</v>
      </c>
      <c r="I98" s="73">
        <f t="shared" si="4"/>
        <v>0</v>
      </c>
      <c r="J98" s="73">
        <f t="shared" si="4"/>
        <v>0.009943181818</v>
      </c>
      <c r="K98" s="73">
        <f t="shared" si="4"/>
        <v>0.01704545455</v>
      </c>
      <c r="L98" s="73">
        <f t="shared" si="4"/>
        <v>0</v>
      </c>
      <c r="M98" s="73">
        <f t="shared" si="4"/>
        <v>0</v>
      </c>
      <c r="N98" s="73">
        <f t="shared" si="4"/>
        <v>0.2698863636</v>
      </c>
      <c r="O98" s="73">
        <f t="shared" si="4"/>
        <v>0.3110795455</v>
      </c>
      <c r="P98" s="73">
        <f t="shared" si="4"/>
        <v>0</v>
      </c>
      <c r="Q98" s="73">
        <f t="shared" si="4"/>
        <v>0</v>
      </c>
      <c r="R98" s="73">
        <f t="shared" si="4"/>
        <v>0</v>
      </c>
      <c r="S98" s="73">
        <f t="shared" si="4"/>
        <v>0.01846590909</v>
      </c>
      <c r="T98" s="73">
        <f t="shared" si="4"/>
        <v>0.002840909091</v>
      </c>
      <c r="U98" s="73">
        <f t="shared" si="4"/>
        <v>0</v>
      </c>
      <c r="V98" s="73">
        <f t="shared" si="4"/>
        <v>0</v>
      </c>
      <c r="W98" s="73">
        <f t="shared" si="4"/>
        <v>0.2982954545</v>
      </c>
      <c r="X98" s="73">
        <f t="shared" si="4"/>
        <v>0</v>
      </c>
      <c r="Y98" s="73">
        <f t="shared" si="4"/>
        <v>0</v>
      </c>
      <c r="Z98" s="73">
        <f t="shared" si="4"/>
        <v>0.08522727273</v>
      </c>
      <c r="AA98" s="73">
        <f t="shared" si="4"/>
        <v>0.3707386364</v>
      </c>
      <c r="AB98" s="73">
        <f t="shared" si="4"/>
        <v>0.04261363636</v>
      </c>
      <c r="AC98" s="73">
        <f t="shared" si="4"/>
        <v>0.3394886364</v>
      </c>
      <c r="AD98" s="73">
        <f t="shared" si="4"/>
        <v>0</v>
      </c>
      <c r="AE98" s="73">
        <f t="shared" si="4"/>
        <v>0.01136363636</v>
      </c>
      <c r="AF98" s="73">
        <f t="shared" si="4"/>
        <v>0</v>
      </c>
      <c r="AG98" s="73">
        <f t="shared" si="4"/>
        <v>0.01278409091</v>
      </c>
      <c r="AH98" s="73">
        <f t="shared" si="4"/>
        <v>0</v>
      </c>
      <c r="AI98" s="73">
        <f t="shared" si="4"/>
        <v>0.046875</v>
      </c>
      <c r="AJ98" s="73">
        <f t="shared" si="4"/>
        <v>0</v>
      </c>
      <c r="AK98" s="73">
        <f t="shared" si="4"/>
        <v>0.0625</v>
      </c>
      <c r="AL98" s="73">
        <f t="shared" si="4"/>
        <v>0</v>
      </c>
      <c r="AM98" s="73">
        <f t="shared" si="4"/>
        <v>0.008522727273</v>
      </c>
      <c r="AN98" s="73">
        <f t="shared" si="4"/>
        <v>0</v>
      </c>
      <c r="AO98" s="73">
        <f t="shared" si="4"/>
        <v>0.4034090909</v>
      </c>
      <c r="AP98" s="73">
        <f t="shared" si="4"/>
        <v>0.04261363636</v>
      </c>
      <c r="AQ98" s="73">
        <f t="shared" si="4"/>
        <v>0.2414772727</v>
      </c>
      <c r="AR98" s="73">
        <f t="shared" si="4"/>
        <v>0</v>
      </c>
      <c r="AS98" s="73">
        <f t="shared" si="4"/>
        <v>0</v>
      </c>
      <c r="AT98" s="73">
        <f t="shared" si="4"/>
        <v>0</v>
      </c>
      <c r="AU98" s="73">
        <f t="shared" si="4"/>
        <v>0.008522727273</v>
      </c>
      <c r="AV98" s="73">
        <f t="shared" si="4"/>
        <v>0</v>
      </c>
      <c r="AW98" s="73">
        <f t="shared" si="4"/>
        <v>0</v>
      </c>
      <c r="AX98" s="73">
        <f t="shared" si="4"/>
        <v>0</v>
      </c>
      <c r="AY98" s="73">
        <f t="shared" si="4"/>
        <v>0.046875</v>
      </c>
      <c r="AZ98" s="73">
        <f t="shared" si="4"/>
        <v>0</v>
      </c>
      <c r="BA98" s="73">
        <f t="shared" si="4"/>
        <v>0.4119318182</v>
      </c>
      <c r="BB98" s="73">
        <f t="shared" si="4"/>
        <v>0.78125</v>
      </c>
      <c r="BC98" s="73">
        <f t="shared" si="4"/>
        <v>0.1292613636</v>
      </c>
      <c r="BD98" s="73">
        <f t="shared" si="4"/>
        <v>0</v>
      </c>
      <c r="BE98" s="73">
        <f t="shared" si="4"/>
        <v>0.2088068182</v>
      </c>
      <c r="BF98" s="71"/>
      <c r="BG98" s="71"/>
      <c r="BH98" s="71"/>
      <c r="BI98" s="71"/>
      <c r="BJ98" s="71"/>
      <c r="BK98" s="71"/>
    </row>
    <row r="99" ht="22.5" customHeight="1">
      <c r="A99" s="7"/>
      <c r="B99" s="7"/>
      <c r="C99" s="7"/>
      <c r="D99" s="78"/>
      <c r="E99" s="79"/>
      <c r="F99" s="7"/>
      <c r="G99" s="7"/>
      <c r="H99" s="7"/>
      <c r="I99" s="7"/>
      <c r="J99" s="80"/>
      <c r="K99" s="80"/>
      <c r="L99" s="7"/>
      <c r="M99" s="7"/>
      <c r="N99" s="7"/>
      <c r="O99" s="7"/>
      <c r="P99" s="7"/>
      <c r="Q99" s="7"/>
      <c r="R99" s="7"/>
      <c r="S99" s="36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</row>
    <row r="100" ht="22.5" customHeight="1">
      <c r="A100" s="7"/>
      <c r="B100" s="7"/>
      <c r="C100" s="7"/>
      <c r="D100" s="78"/>
      <c r="E100" s="79"/>
      <c r="F100" s="7"/>
      <c r="G100" s="7"/>
      <c r="H100" s="7"/>
      <c r="I100" s="7"/>
      <c r="J100" s="80"/>
      <c r="K100" s="80"/>
      <c r="L100" s="7"/>
      <c r="M100" s="7"/>
      <c r="N100" s="7"/>
      <c r="O100" s="7"/>
      <c r="P100" s="7"/>
      <c r="Q100" s="7"/>
      <c r="R100" s="7"/>
      <c r="S100" s="36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</row>
    <row r="101" ht="22.5" customHeight="1">
      <c r="A101" s="7"/>
      <c r="B101" s="7"/>
      <c r="C101" s="7"/>
      <c r="D101" s="78"/>
      <c r="E101" s="81" t="s">
        <v>196</v>
      </c>
      <c r="I101" s="7"/>
      <c r="J101" s="82"/>
      <c r="K101" s="7" t="s">
        <v>70</v>
      </c>
      <c r="L101" s="7"/>
      <c r="M101" s="7"/>
      <c r="N101" s="46"/>
      <c r="O101" s="7" t="s">
        <v>136</v>
      </c>
      <c r="P101" s="7"/>
      <c r="Q101" s="83"/>
      <c r="R101" s="23" t="s">
        <v>97</v>
      </c>
      <c r="S101" s="84"/>
      <c r="T101" s="22"/>
      <c r="U101" s="7" t="s">
        <v>63</v>
      </c>
      <c r="V101" s="7"/>
      <c r="W101" s="7"/>
      <c r="X101" s="32"/>
      <c r="Y101" s="7" t="s">
        <v>72</v>
      </c>
      <c r="Z101" s="7"/>
      <c r="AA101" s="7"/>
      <c r="AB101" s="28"/>
      <c r="AC101" s="7" t="s">
        <v>65</v>
      </c>
      <c r="AD101" s="23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</row>
    <row r="102" ht="22.5" customHeight="1">
      <c r="A102" s="7"/>
      <c r="B102" s="7"/>
      <c r="C102" s="7"/>
      <c r="D102" s="78"/>
      <c r="E102" s="7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36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</row>
    <row r="103" ht="22.5" customHeight="1">
      <c r="A103" s="7"/>
      <c r="B103" s="85" t="s">
        <v>197</v>
      </c>
      <c r="C103" s="86" t="s">
        <v>198</v>
      </c>
      <c r="D103" s="87"/>
      <c r="E103" s="79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36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</row>
    <row r="104" ht="14.25" customHeight="1">
      <c r="A104" s="7"/>
      <c r="B104" s="88"/>
      <c r="C104" s="89"/>
      <c r="D104" s="90"/>
      <c r="E104" s="79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36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</row>
    <row r="105">
      <c r="A105" s="7"/>
      <c r="B105" s="7"/>
      <c r="D105" s="91"/>
      <c r="E105" s="7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36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</row>
    <row r="106" ht="14.25" customHeight="1">
      <c r="A106" s="7"/>
      <c r="D106" s="78"/>
      <c r="E106" s="79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36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</row>
    <row r="107" ht="14.25" customHeight="1">
      <c r="A107" s="7"/>
      <c r="D107" s="78"/>
      <c r="E107" s="79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36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</row>
    <row r="108" ht="14.25" customHeight="1">
      <c r="A108" s="7"/>
      <c r="D108" s="78"/>
      <c r="E108" s="7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36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</row>
    <row r="109" ht="14.25" customHeight="1">
      <c r="A109" s="7"/>
      <c r="D109" s="78"/>
      <c r="E109" s="79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36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</row>
    <row r="110" ht="14.25" customHeight="1">
      <c r="A110" s="7"/>
      <c r="D110" s="78"/>
      <c r="E110" s="79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36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</row>
    <row r="111" ht="14.25" customHeight="1">
      <c r="A111" s="7"/>
      <c r="D111" s="78"/>
      <c r="E111" s="7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36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</row>
    <row r="112" ht="14.25" customHeight="1">
      <c r="A112" s="7"/>
      <c r="D112" s="78"/>
      <c r="E112" s="79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36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</row>
    <row r="113" ht="14.25" customHeight="1">
      <c r="A113" s="7"/>
      <c r="D113" s="78"/>
      <c r="E113" s="79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36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</row>
    <row r="114" ht="14.25" customHeight="1">
      <c r="A114" s="7"/>
      <c r="D114" s="78"/>
      <c r="E114" s="7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36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</row>
    <row r="115" ht="14.25" customHeight="1">
      <c r="A115" s="7"/>
      <c r="D115" s="78"/>
      <c r="E115" s="7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36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</row>
    <row r="116" ht="14.25" customHeight="1">
      <c r="A116" s="7"/>
      <c r="B116" s="7"/>
      <c r="C116" s="7"/>
      <c r="D116" s="78"/>
      <c r="E116" s="7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36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</row>
    <row r="117" ht="14.25" customHeight="1">
      <c r="A117" s="7"/>
      <c r="B117" s="7"/>
      <c r="C117" s="7"/>
      <c r="D117" s="78"/>
      <c r="E117" s="7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36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</row>
    <row r="118" ht="14.25" customHeight="1">
      <c r="A118" s="7"/>
      <c r="B118" s="7"/>
      <c r="C118" s="7"/>
      <c r="D118" s="78"/>
      <c r="E118" s="7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36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</row>
    <row r="119" ht="14.25" customHeight="1">
      <c r="A119" s="7"/>
      <c r="B119" s="7"/>
      <c r="C119" s="7"/>
      <c r="D119" s="78"/>
      <c r="E119" s="7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36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</row>
    <row r="120" ht="14.25" customHeight="1">
      <c r="A120" s="7"/>
      <c r="B120" s="7"/>
      <c r="C120" s="7"/>
      <c r="D120" s="78"/>
      <c r="E120" s="7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36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</row>
    <row r="121" ht="14.25" customHeight="1">
      <c r="A121" s="7"/>
      <c r="B121" s="7"/>
      <c r="C121" s="7"/>
      <c r="D121" s="78"/>
      <c r="E121" s="7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36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</row>
    <row r="122" ht="14.25" customHeight="1">
      <c r="A122" s="7"/>
      <c r="B122" s="7"/>
      <c r="C122" s="7"/>
      <c r="D122" s="78"/>
      <c r="E122" s="7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36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</row>
    <row r="123" ht="14.25" customHeight="1">
      <c r="A123" s="7"/>
      <c r="B123" s="7"/>
      <c r="C123" s="7"/>
      <c r="D123" s="78"/>
      <c r="E123" s="7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36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</row>
    <row r="124" ht="14.25" customHeight="1">
      <c r="A124" s="7"/>
      <c r="B124" s="7"/>
      <c r="C124" s="7"/>
      <c r="D124" s="78"/>
      <c r="E124" s="7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36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</row>
    <row r="125" ht="14.25" customHeight="1">
      <c r="A125" s="7"/>
      <c r="B125" s="7"/>
      <c r="C125" s="7"/>
      <c r="D125" s="78"/>
      <c r="E125" s="7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36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</row>
    <row r="126" ht="14.25" customHeight="1">
      <c r="A126" s="7"/>
      <c r="B126" s="7"/>
      <c r="C126" s="7"/>
      <c r="D126" s="78"/>
      <c r="E126" s="7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36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</row>
    <row r="127" ht="14.25" customHeight="1">
      <c r="A127" s="7"/>
      <c r="B127" s="7"/>
      <c r="C127" s="7"/>
      <c r="D127" s="78"/>
      <c r="E127" s="7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36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</row>
    <row r="128" ht="14.25" customHeight="1">
      <c r="A128" s="7"/>
      <c r="B128" s="7"/>
      <c r="C128" s="7"/>
      <c r="D128" s="78"/>
      <c r="E128" s="7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36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</row>
    <row r="129" ht="14.25" customHeight="1">
      <c r="A129" s="7"/>
      <c r="B129" s="7"/>
      <c r="C129" s="7"/>
      <c r="D129" s="78"/>
      <c r="E129" s="7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36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</row>
    <row r="130" ht="14.25" customHeight="1">
      <c r="A130" s="7"/>
      <c r="B130" s="7"/>
      <c r="C130" s="7"/>
      <c r="D130" s="78"/>
      <c r="E130" s="7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36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</row>
    <row r="131" ht="14.25" customHeight="1">
      <c r="A131" s="7"/>
      <c r="B131" s="7"/>
      <c r="C131" s="7"/>
      <c r="D131" s="78"/>
      <c r="E131" s="7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36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</row>
    <row r="132" ht="14.25" customHeight="1">
      <c r="A132" s="7"/>
      <c r="B132" s="7"/>
      <c r="C132" s="7"/>
      <c r="D132" s="78"/>
      <c r="E132" s="7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36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</row>
    <row r="133" ht="14.25" customHeight="1">
      <c r="A133" s="7"/>
      <c r="B133" s="7"/>
      <c r="C133" s="7"/>
      <c r="D133" s="78"/>
      <c r="E133" s="7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36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</row>
    <row r="134" ht="14.25" customHeight="1">
      <c r="A134" s="7"/>
      <c r="B134" s="7"/>
      <c r="C134" s="7"/>
      <c r="D134" s="78"/>
      <c r="E134" s="7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36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</row>
    <row r="135" ht="14.25" customHeight="1">
      <c r="A135" s="7"/>
      <c r="B135" s="7"/>
      <c r="C135" s="7"/>
      <c r="D135" s="78"/>
      <c r="E135" s="7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36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</row>
    <row r="136" ht="14.25" customHeight="1">
      <c r="A136" s="7"/>
      <c r="B136" s="7"/>
      <c r="C136" s="7"/>
      <c r="D136" s="78"/>
      <c r="E136" s="7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36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</row>
    <row r="137" ht="14.25" customHeight="1">
      <c r="A137" s="7"/>
      <c r="B137" s="7"/>
      <c r="C137" s="7"/>
      <c r="D137" s="78"/>
      <c r="E137" s="7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36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</row>
    <row r="138" ht="14.25" customHeight="1">
      <c r="A138" s="7"/>
      <c r="B138" s="7"/>
      <c r="C138" s="7"/>
      <c r="D138" s="78"/>
      <c r="E138" s="7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36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</row>
    <row r="139" ht="14.25" customHeight="1">
      <c r="A139" s="7"/>
      <c r="B139" s="7"/>
      <c r="C139" s="7"/>
      <c r="D139" s="78"/>
      <c r="E139" s="7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36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</row>
    <row r="140" ht="14.25" customHeight="1">
      <c r="A140" s="7"/>
      <c r="B140" s="7"/>
      <c r="C140" s="7"/>
      <c r="D140" s="78"/>
      <c r="E140" s="7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36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</row>
    <row r="141" ht="14.25" customHeight="1">
      <c r="A141" s="7"/>
      <c r="B141" s="7"/>
      <c r="C141" s="7"/>
      <c r="D141" s="78"/>
      <c r="E141" s="7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36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</row>
    <row r="142" ht="14.25" customHeight="1">
      <c r="A142" s="7"/>
      <c r="B142" s="7"/>
      <c r="C142" s="7"/>
      <c r="D142" s="78"/>
      <c r="E142" s="7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36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</row>
    <row r="143" ht="14.25" customHeight="1">
      <c r="A143" s="7"/>
      <c r="B143" s="7"/>
      <c r="C143" s="7"/>
      <c r="D143" s="78"/>
      <c r="E143" s="7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36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</row>
    <row r="144" ht="14.25" customHeight="1">
      <c r="A144" s="7"/>
      <c r="B144" s="7"/>
      <c r="C144" s="7"/>
      <c r="D144" s="78"/>
      <c r="E144" s="7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36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</row>
    <row r="145" ht="14.25" customHeight="1">
      <c r="A145" s="7"/>
      <c r="B145" s="7"/>
      <c r="C145" s="7"/>
      <c r="D145" s="78"/>
      <c r="E145" s="7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36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</row>
    <row r="146" ht="14.25" customHeight="1">
      <c r="A146" s="7"/>
      <c r="B146" s="7"/>
      <c r="C146" s="7"/>
      <c r="D146" s="78"/>
      <c r="E146" s="7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36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</row>
    <row r="147" ht="14.25" customHeight="1">
      <c r="A147" s="7"/>
      <c r="B147" s="7"/>
      <c r="C147" s="7"/>
      <c r="D147" s="78"/>
      <c r="E147" s="7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36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</row>
    <row r="148" ht="14.25" customHeight="1">
      <c r="A148" s="7"/>
      <c r="B148" s="7"/>
      <c r="C148" s="7"/>
      <c r="D148" s="78"/>
      <c r="E148" s="7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36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</row>
    <row r="149" ht="14.25" customHeight="1">
      <c r="A149" s="7"/>
      <c r="B149" s="7"/>
      <c r="C149" s="7"/>
      <c r="D149" s="78"/>
      <c r="E149" s="7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36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</row>
    <row r="150" ht="14.25" customHeight="1">
      <c r="A150" s="7"/>
      <c r="B150" s="7"/>
      <c r="C150" s="7"/>
      <c r="D150" s="78"/>
      <c r="E150" s="7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36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</row>
    <row r="151" ht="14.25" customHeight="1">
      <c r="A151" s="7"/>
      <c r="B151" s="7"/>
      <c r="C151" s="7"/>
      <c r="D151" s="78"/>
      <c r="E151" s="7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36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</row>
    <row r="152" ht="14.25" customHeight="1">
      <c r="A152" s="7"/>
      <c r="B152" s="7"/>
      <c r="C152" s="7"/>
      <c r="D152" s="78"/>
      <c r="E152" s="7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36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</row>
    <row r="153" ht="14.25" customHeight="1">
      <c r="A153" s="7"/>
      <c r="B153" s="7"/>
      <c r="C153" s="7"/>
      <c r="D153" s="78"/>
      <c r="E153" s="7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36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</row>
    <row r="154" ht="14.25" customHeight="1">
      <c r="A154" s="7"/>
      <c r="B154" s="7"/>
      <c r="C154" s="7"/>
      <c r="D154" s="78"/>
      <c r="E154" s="7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36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</row>
    <row r="155" ht="14.25" customHeight="1">
      <c r="A155" s="7"/>
      <c r="B155" s="7"/>
      <c r="C155" s="7"/>
      <c r="D155" s="78"/>
      <c r="E155" s="7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36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</row>
    <row r="156" ht="14.25" customHeight="1">
      <c r="A156" s="7"/>
      <c r="B156" s="7"/>
      <c r="C156" s="7"/>
      <c r="D156" s="78"/>
      <c r="E156" s="7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36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</row>
    <row r="157" ht="14.25" customHeight="1">
      <c r="A157" s="7"/>
      <c r="B157" s="7"/>
      <c r="C157" s="7"/>
      <c r="D157" s="78"/>
      <c r="E157" s="7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36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</row>
    <row r="158" ht="14.25" customHeight="1">
      <c r="A158" s="7"/>
      <c r="B158" s="7"/>
      <c r="C158" s="7"/>
      <c r="D158" s="78"/>
      <c r="E158" s="7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36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</row>
    <row r="159" ht="14.25" customHeight="1">
      <c r="A159" s="7"/>
      <c r="B159" s="7"/>
      <c r="C159" s="7"/>
      <c r="D159" s="78"/>
      <c r="E159" s="7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36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</row>
    <row r="160" ht="14.25" customHeight="1">
      <c r="A160" s="7"/>
      <c r="B160" s="7"/>
      <c r="C160" s="7"/>
      <c r="D160" s="78"/>
      <c r="E160" s="7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36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</row>
    <row r="161" ht="14.25" customHeight="1">
      <c r="A161" s="7"/>
      <c r="B161" s="7"/>
      <c r="C161" s="7"/>
      <c r="D161" s="78"/>
      <c r="E161" s="7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36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</row>
    <row r="162" ht="14.25" customHeight="1">
      <c r="A162" s="7"/>
      <c r="B162" s="7"/>
      <c r="C162" s="7"/>
      <c r="D162" s="78"/>
      <c r="E162" s="7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36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</row>
    <row r="163" ht="14.25" customHeight="1">
      <c r="A163" s="7"/>
      <c r="B163" s="7"/>
      <c r="C163" s="7"/>
      <c r="D163" s="78"/>
      <c r="E163" s="7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36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</row>
    <row r="164" ht="14.25" customHeight="1">
      <c r="A164" s="7"/>
      <c r="B164" s="7"/>
      <c r="C164" s="7"/>
      <c r="D164" s="78"/>
      <c r="E164" s="7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36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</row>
    <row r="165" ht="14.25" customHeight="1">
      <c r="A165" s="7"/>
      <c r="B165" s="7"/>
      <c r="C165" s="7"/>
      <c r="D165" s="78"/>
      <c r="E165" s="7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36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</row>
    <row r="166" ht="14.25" customHeight="1">
      <c r="A166" s="7"/>
      <c r="B166" s="7"/>
      <c r="C166" s="7"/>
      <c r="D166" s="78"/>
      <c r="E166" s="7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36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</row>
    <row r="167" ht="14.25" customHeight="1">
      <c r="A167" s="7"/>
      <c r="B167" s="7"/>
      <c r="C167" s="7"/>
      <c r="D167" s="78"/>
      <c r="E167" s="7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36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</row>
    <row r="168" ht="14.25" customHeight="1">
      <c r="A168" s="7"/>
      <c r="B168" s="7"/>
      <c r="C168" s="7"/>
      <c r="D168" s="78"/>
      <c r="E168" s="7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36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</row>
    <row r="169" ht="14.25" customHeight="1">
      <c r="A169" s="7"/>
      <c r="B169" s="7"/>
      <c r="C169" s="7"/>
      <c r="D169" s="78"/>
      <c r="E169" s="7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36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</row>
    <row r="170" ht="14.25" customHeight="1">
      <c r="A170" s="7"/>
      <c r="B170" s="7"/>
      <c r="C170" s="7"/>
      <c r="D170" s="78"/>
      <c r="E170" s="7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36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</row>
    <row r="171" ht="14.25" customHeight="1">
      <c r="A171" s="7"/>
      <c r="B171" s="7"/>
      <c r="C171" s="7"/>
      <c r="D171" s="78"/>
      <c r="E171" s="7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36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</row>
    <row r="172" ht="14.25" customHeight="1">
      <c r="A172" s="7"/>
      <c r="B172" s="7"/>
      <c r="C172" s="7"/>
      <c r="D172" s="78"/>
      <c r="E172" s="7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36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</row>
    <row r="173" ht="14.25" customHeight="1">
      <c r="A173" s="7"/>
      <c r="B173" s="7"/>
      <c r="C173" s="7"/>
      <c r="D173" s="78"/>
      <c r="E173" s="7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36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</row>
    <row r="174" ht="14.25" customHeight="1">
      <c r="A174" s="7"/>
      <c r="B174" s="7"/>
      <c r="C174" s="7"/>
      <c r="D174" s="78"/>
      <c r="E174" s="7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36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</row>
    <row r="175" ht="14.25" customHeight="1">
      <c r="A175" s="7"/>
      <c r="B175" s="7"/>
      <c r="C175" s="7"/>
      <c r="D175" s="78"/>
      <c r="E175" s="7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36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</row>
    <row r="176" ht="14.25" customHeight="1">
      <c r="A176" s="7"/>
      <c r="B176" s="7"/>
      <c r="C176" s="7"/>
      <c r="D176" s="78"/>
      <c r="E176" s="7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36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</row>
    <row r="177" ht="14.25" customHeight="1">
      <c r="A177" s="7"/>
      <c r="B177" s="7"/>
      <c r="C177" s="7"/>
      <c r="D177" s="78"/>
      <c r="E177" s="7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36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</row>
    <row r="178" ht="14.25" customHeight="1">
      <c r="A178" s="7"/>
      <c r="B178" s="7"/>
      <c r="C178" s="7"/>
      <c r="D178" s="78"/>
      <c r="E178" s="7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36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</row>
    <row r="179" ht="14.25" customHeight="1">
      <c r="A179" s="7"/>
      <c r="B179" s="7"/>
      <c r="C179" s="7"/>
      <c r="D179" s="78"/>
      <c r="E179" s="7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36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</row>
    <row r="180" ht="14.25" customHeight="1">
      <c r="A180" s="7"/>
      <c r="B180" s="7"/>
      <c r="C180" s="7"/>
      <c r="D180" s="78"/>
      <c r="E180" s="7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36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</row>
    <row r="181" ht="14.25" customHeight="1">
      <c r="A181" s="7"/>
      <c r="B181" s="7"/>
      <c r="C181" s="7"/>
      <c r="D181" s="78"/>
      <c r="E181" s="7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36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</row>
    <row r="182" ht="14.25" customHeight="1">
      <c r="A182" s="7"/>
      <c r="B182" s="7"/>
      <c r="C182" s="7"/>
      <c r="D182" s="78"/>
      <c r="E182" s="7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36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</row>
    <row r="183" ht="14.25" customHeight="1">
      <c r="A183" s="7"/>
      <c r="B183" s="7"/>
      <c r="C183" s="7"/>
      <c r="D183" s="78"/>
      <c r="E183" s="7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36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</row>
    <row r="184" ht="14.25" customHeight="1">
      <c r="A184" s="7"/>
      <c r="B184" s="7"/>
      <c r="C184" s="7"/>
      <c r="D184" s="78"/>
      <c r="E184" s="7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36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</row>
    <row r="185" ht="14.25" customHeight="1">
      <c r="A185" s="7"/>
      <c r="B185" s="7"/>
      <c r="C185" s="7"/>
      <c r="D185" s="78"/>
      <c r="E185" s="7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36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</row>
    <row r="186" ht="14.25" customHeight="1">
      <c r="A186" s="7"/>
      <c r="B186" s="7"/>
      <c r="C186" s="7"/>
      <c r="D186" s="78"/>
      <c r="E186" s="7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36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</row>
    <row r="187" ht="14.25" customHeight="1">
      <c r="A187" s="7"/>
      <c r="B187" s="7"/>
      <c r="C187" s="7"/>
      <c r="D187" s="78"/>
      <c r="E187" s="7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36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</row>
    <row r="188" ht="14.25" customHeight="1">
      <c r="A188" s="7"/>
      <c r="B188" s="7"/>
      <c r="C188" s="7"/>
      <c r="D188" s="78"/>
      <c r="E188" s="7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36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</row>
    <row r="189" ht="14.25" customHeight="1">
      <c r="A189" s="7"/>
      <c r="B189" s="7"/>
      <c r="C189" s="7"/>
      <c r="D189" s="78"/>
      <c r="E189" s="7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36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</row>
    <row r="190" ht="14.25" customHeight="1">
      <c r="A190" s="7"/>
      <c r="B190" s="7"/>
      <c r="C190" s="7"/>
      <c r="D190" s="78"/>
      <c r="E190" s="7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36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</row>
    <row r="191" ht="14.25" customHeight="1">
      <c r="A191" s="7"/>
      <c r="B191" s="7"/>
      <c r="C191" s="7"/>
      <c r="D191" s="78"/>
      <c r="E191" s="7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36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</row>
    <row r="192" ht="14.25" customHeight="1">
      <c r="A192" s="7"/>
      <c r="B192" s="7"/>
      <c r="C192" s="7"/>
      <c r="D192" s="78"/>
      <c r="E192" s="7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36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</row>
    <row r="193" ht="14.25" customHeight="1">
      <c r="A193" s="7"/>
      <c r="B193" s="7"/>
      <c r="C193" s="7"/>
      <c r="D193" s="78"/>
      <c r="E193" s="7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36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</row>
    <row r="194" ht="14.25" customHeight="1">
      <c r="A194" s="7"/>
      <c r="B194" s="7"/>
      <c r="C194" s="7"/>
      <c r="D194" s="78"/>
      <c r="E194" s="7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36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</row>
    <row r="195" ht="14.25" customHeight="1">
      <c r="A195" s="7"/>
      <c r="B195" s="7"/>
      <c r="C195" s="7"/>
      <c r="D195" s="78"/>
      <c r="E195" s="7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36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</row>
    <row r="196" ht="14.25" customHeight="1">
      <c r="A196" s="7"/>
      <c r="B196" s="7"/>
      <c r="C196" s="7"/>
      <c r="D196" s="78"/>
      <c r="E196" s="7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36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</row>
    <row r="197" ht="14.25" customHeight="1">
      <c r="A197" s="7"/>
      <c r="B197" s="7"/>
      <c r="C197" s="7"/>
      <c r="D197" s="78"/>
      <c r="E197" s="7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36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</row>
    <row r="198" ht="14.25" customHeight="1">
      <c r="A198" s="7"/>
      <c r="B198" s="7"/>
      <c r="C198" s="7"/>
      <c r="D198" s="78"/>
      <c r="E198" s="7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36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</row>
    <row r="199" ht="14.25" customHeight="1">
      <c r="A199" s="7"/>
      <c r="B199" s="7"/>
      <c r="C199" s="7"/>
      <c r="D199" s="78"/>
      <c r="E199" s="7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36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</row>
    <row r="200" ht="14.25" customHeight="1">
      <c r="A200" s="7"/>
      <c r="B200" s="7"/>
      <c r="C200" s="7"/>
      <c r="D200" s="78"/>
      <c r="E200" s="7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36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</row>
    <row r="201" ht="14.25" customHeight="1">
      <c r="A201" s="7"/>
      <c r="B201" s="7"/>
      <c r="C201" s="7"/>
      <c r="D201" s="78"/>
      <c r="E201" s="7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36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</row>
    <row r="202" ht="14.25" customHeight="1">
      <c r="A202" s="7"/>
      <c r="B202" s="7"/>
      <c r="C202" s="7"/>
      <c r="D202" s="78"/>
      <c r="E202" s="7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36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</row>
    <row r="203" ht="14.25" customHeight="1">
      <c r="A203" s="7"/>
      <c r="B203" s="7"/>
      <c r="C203" s="7"/>
      <c r="D203" s="78"/>
      <c r="E203" s="7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36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</row>
    <row r="204" ht="14.25" customHeight="1">
      <c r="A204" s="7"/>
      <c r="B204" s="7"/>
      <c r="C204" s="7"/>
      <c r="D204" s="78"/>
      <c r="E204" s="7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36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</row>
    <row r="205" ht="14.25" customHeight="1">
      <c r="A205" s="7"/>
      <c r="B205" s="7"/>
      <c r="C205" s="7"/>
      <c r="D205" s="78"/>
      <c r="E205" s="7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36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</row>
    <row r="206" ht="14.25" customHeight="1">
      <c r="A206" s="7"/>
      <c r="B206" s="7"/>
      <c r="C206" s="7"/>
      <c r="D206" s="78"/>
      <c r="E206" s="7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36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</row>
    <row r="207" ht="14.25" customHeight="1">
      <c r="A207" s="7"/>
      <c r="B207" s="7"/>
      <c r="C207" s="7"/>
      <c r="D207" s="78"/>
      <c r="E207" s="7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36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</row>
    <row r="208" ht="14.25" customHeight="1">
      <c r="A208" s="7"/>
      <c r="B208" s="7"/>
      <c r="C208" s="7"/>
      <c r="D208" s="78"/>
      <c r="E208" s="7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36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</row>
    <row r="209" ht="14.25" customHeight="1">
      <c r="A209" s="7"/>
      <c r="B209" s="7"/>
      <c r="C209" s="7"/>
      <c r="D209" s="78"/>
      <c r="E209" s="7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36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</row>
    <row r="210" ht="14.25" customHeight="1">
      <c r="A210" s="7"/>
      <c r="B210" s="7"/>
      <c r="C210" s="7"/>
      <c r="D210" s="78"/>
      <c r="E210" s="7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36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</row>
    <row r="211" ht="14.25" customHeight="1">
      <c r="A211" s="7"/>
      <c r="B211" s="7"/>
      <c r="C211" s="7"/>
      <c r="D211" s="78"/>
      <c r="E211" s="7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36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</row>
    <row r="212" ht="14.25" customHeight="1">
      <c r="A212" s="7"/>
      <c r="B212" s="7"/>
      <c r="C212" s="7"/>
      <c r="D212" s="78"/>
      <c r="E212" s="7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36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</row>
    <row r="213" ht="14.25" customHeight="1">
      <c r="A213" s="7"/>
      <c r="B213" s="7"/>
      <c r="C213" s="7"/>
      <c r="D213" s="78"/>
      <c r="E213" s="7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36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</row>
    <row r="214" ht="14.25" customHeight="1">
      <c r="A214" s="7"/>
      <c r="B214" s="7"/>
      <c r="C214" s="7"/>
      <c r="D214" s="78"/>
      <c r="E214" s="7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36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</row>
    <row r="215" ht="14.25" customHeight="1">
      <c r="A215" s="7"/>
      <c r="B215" s="7"/>
      <c r="C215" s="7"/>
      <c r="D215" s="78"/>
      <c r="E215" s="7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36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</row>
    <row r="216" ht="14.25" customHeight="1">
      <c r="A216" s="7"/>
      <c r="B216" s="7"/>
      <c r="C216" s="7"/>
      <c r="D216" s="78"/>
      <c r="E216" s="7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36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</row>
    <row r="217" ht="14.25" customHeight="1">
      <c r="A217" s="7"/>
      <c r="B217" s="7"/>
      <c r="C217" s="7"/>
      <c r="D217" s="78"/>
      <c r="E217" s="7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36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</row>
    <row r="218" ht="14.25" customHeight="1">
      <c r="A218" s="7"/>
      <c r="B218" s="7"/>
      <c r="C218" s="7"/>
      <c r="D218" s="78"/>
      <c r="E218" s="7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36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</row>
    <row r="219" ht="14.25" customHeight="1">
      <c r="A219" s="7"/>
      <c r="B219" s="7"/>
      <c r="C219" s="7"/>
      <c r="D219" s="78"/>
      <c r="E219" s="7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36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</row>
    <row r="220" ht="14.25" customHeight="1">
      <c r="A220" s="7"/>
      <c r="B220" s="7"/>
      <c r="C220" s="7"/>
      <c r="D220" s="78"/>
      <c r="E220" s="7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36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</row>
    <row r="221" ht="14.25" customHeight="1">
      <c r="A221" s="7"/>
      <c r="B221" s="7"/>
      <c r="C221" s="7"/>
      <c r="D221" s="78"/>
      <c r="E221" s="7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36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</row>
    <row r="222" ht="14.25" customHeight="1">
      <c r="A222" s="7"/>
      <c r="B222" s="7"/>
      <c r="C222" s="7"/>
      <c r="D222" s="78"/>
      <c r="E222" s="7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36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</row>
    <row r="223" ht="14.25" customHeight="1">
      <c r="A223" s="7"/>
      <c r="B223" s="7"/>
      <c r="C223" s="7"/>
      <c r="D223" s="78"/>
      <c r="E223" s="7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36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</row>
    <row r="224" ht="14.25" customHeight="1">
      <c r="A224" s="7"/>
      <c r="B224" s="7"/>
      <c r="C224" s="7"/>
      <c r="D224" s="78"/>
      <c r="E224" s="7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36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</row>
    <row r="225" ht="14.25" customHeight="1">
      <c r="A225" s="7"/>
      <c r="B225" s="7"/>
      <c r="C225" s="7"/>
      <c r="D225" s="78"/>
      <c r="E225" s="7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36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</row>
    <row r="226" ht="14.25" customHeight="1">
      <c r="A226" s="7"/>
      <c r="B226" s="7"/>
      <c r="C226" s="7"/>
      <c r="D226" s="78"/>
      <c r="E226" s="7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36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</row>
    <row r="227" ht="14.25" customHeight="1">
      <c r="A227" s="7"/>
      <c r="B227" s="7"/>
      <c r="C227" s="7"/>
      <c r="D227" s="78"/>
      <c r="E227" s="7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36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</row>
    <row r="228" ht="14.25" customHeight="1">
      <c r="A228" s="7"/>
      <c r="B228" s="7"/>
      <c r="C228" s="7"/>
      <c r="D228" s="78"/>
      <c r="E228" s="7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36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</row>
    <row r="229" ht="14.25" customHeight="1">
      <c r="A229" s="7"/>
      <c r="B229" s="7"/>
      <c r="C229" s="7"/>
      <c r="D229" s="78"/>
      <c r="E229" s="7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36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</row>
    <row r="230" ht="14.25" customHeight="1">
      <c r="A230" s="7"/>
      <c r="B230" s="7"/>
      <c r="C230" s="7"/>
      <c r="D230" s="78"/>
      <c r="E230" s="7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36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</row>
    <row r="231" ht="14.25" customHeight="1">
      <c r="A231" s="7"/>
      <c r="B231" s="7"/>
      <c r="C231" s="7"/>
      <c r="D231" s="78"/>
      <c r="E231" s="7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36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</row>
    <row r="232" ht="14.25" customHeight="1">
      <c r="A232" s="7"/>
      <c r="B232" s="7"/>
      <c r="C232" s="7"/>
      <c r="D232" s="78"/>
      <c r="E232" s="7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36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</row>
    <row r="233" ht="14.25" customHeight="1">
      <c r="A233" s="7"/>
      <c r="B233" s="7"/>
      <c r="C233" s="7"/>
      <c r="D233" s="78"/>
      <c r="E233" s="7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36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</row>
    <row r="234" ht="14.25" customHeight="1">
      <c r="A234" s="7"/>
      <c r="B234" s="7"/>
      <c r="C234" s="7"/>
      <c r="D234" s="78"/>
      <c r="E234" s="7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36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</row>
    <row r="235" ht="14.25" customHeight="1">
      <c r="A235" s="7"/>
      <c r="B235" s="7"/>
      <c r="C235" s="7"/>
      <c r="D235" s="78"/>
      <c r="E235" s="7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36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</row>
    <row r="236" ht="14.25" customHeight="1">
      <c r="A236" s="7"/>
      <c r="B236" s="7"/>
      <c r="C236" s="7"/>
      <c r="D236" s="78"/>
      <c r="E236" s="7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36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</row>
    <row r="237" ht="14.25" customHeight="1">
      <c r="A237" s="7"/>
      <c r="B237" s="7"/>
      <c r="C237" s="7"/>
      <c r="D237" s="78"/>
      <c r="E237" s="7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36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</row>
    <row r="238" ht="14.25" customHeight="1">
      <c r="A238" s="7"/>
      <c r="B238" s="7"/>
      <c r="C238" s="7"/>
      <c r="D238" s="78"/>
      <c r="E238" s="7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36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</row>
    <row r="239" ht="14.25" customHeight="1">
      <c r="A239" s="7"/>
      <c r="B239" s="7"/>
      <c r="C239" s="7"/>
      <c r="D239" s="78"/>
      <c r="E239" s="7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36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</row>
    <row r="240" ht="14.25" customHeight="1">
      <c r="A240" s="7"/>
      <c r="B240" s="7"/>
      <c r="C240" s="7"/>
      <c r="D240" s="78"/>
      <c r="E240" s="7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36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</row>
    <row r="241" ht="14.25" customHeight="1">
      <c r="A241" s="7"/>
      <c r="B241" s="7"/>
      <c r="C241" s="7"/>
      <c r="D241" s="78"/>
      <c r="E241" s="7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36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</row>
    <row r="242" ht="14.25" customHeight="1">
      <c r="A242" s="7"/>
      <c r="B242" s="7"/>
      <c r="C242" s="7"/>
      <c r="D242" s="78"/>
      <c r="E242" s="7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36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</row>
    <row r="243" ht="14.25" customHeight="1">
      <c r="A243" s="7"/>
      <c r="B243" s="7"/>
      <c r="C243" s="7"/>
      <c r="D243" s="78"/>
      <c r="E243" s="7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36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</row>
    <row r="244" ht="14.25" customHeight="1">
      <c r="A244" s="7"/>
      <c r="B244" s="7"/>
      <c r="C244" s="7"/>
      <c r="D244" s="78"/>
      <c r="E244" s="7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36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</row>
    <row r="245" ht="14.25" customHeight="1">
      <c r="A245" s="7"/>
      <c r="B245" s="7"/>
      <c r="C245" s="7"/>
      <c r="D245" s="78"/>
      <c r="E245" s="7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36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</row>
    <row r="246" ht="14.25" customHeight="1">
      <c r="A246" s="7"/>
      <c r="B246" s="7"/>
      <c r="C246" s="7"/>
      <c r="D246" s="78"/>
      <c r="E246" s="7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36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</row>
    <row r="247" ht="14.25" customHeight="1">
      <c r="A247" s="7"/>
      <c r="B247" s="7"/>
      <c r="C247" s="7"/>
      <c r="D247" s="78"/>
      <c r="E247" s="7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36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</row>
    <row r="248" ht="14.25" customHeight="1">
      <c r="A248" s="7"/>
      <c r="B248" s="7"/>
      <c r="C248" s="7"/>
      <c r="D248" s="78"/>
      <c r="E248" s="7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36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</row>
    <row r="249" ht="14.25" customHeight="1">
      <c r="A249" s="7"/>
      <c r="B249" s="7"/>
      <c r="C249" s="7"/>
      <c r="D249" s="78"/>
      <c r="E249" s="7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36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</row>
    <row r="250" ht="14.25" customHeight="1">
      <c r="A250" s="7"/>
      <c r="B250" s="7"/>
      <c r="C250" s="7"/>
      <c r="D250" s="78"/>
      <c r="E250" s="7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36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</row>
    <row r="251" ht="14.25" customHeight="1">
      <c r="A251" s="7"/>
      <c r="B251" s="7"/>
      <c r="C251" s="7"/>
      <c r="D251" s="78"/>
      <c r="E251" s="7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36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</row>
    <row r="252" ht="14.25" customHeight="1">
      <c r="A252" s="7"/>
      <c r="B252" s="7"/>
      <c r="C252" s="7"/>
      <c r="D252" s="78"/>
      <c r="E252" s="7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36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</row>
    <row r="253" ht="14.25" customHeight="1">
      <c r="A253" s="7"/>
      <c r="B253" s="7"/>
      <c r="C253" s="7"/>
      <c r="D253" s="78"/>
      <c r="E253" s="7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36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</row>
    <row r="254" ht="14.25" customHeight="1">
      <c r="A254" s="7"/>
      <c r="B254" s="7"/>
      <c r="C254" s="7"/>
      <c r="D254" s="78"/>
      <c r="E254" s="7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36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</row>
    <row r="255" ht="14.25" customHeight="1">
      <c r="A255" s="7"/>
      <c r="B255" s="7"/>
      <c r="C255" s="7"/>
      <c r="D255" s="78"/>
      <c r="E255" s="7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36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</row>
    <row r="256" ht="14.25" customHeight="1">
      <c r="A256" s="7"/>
      <c r="B256" s="7"/>
      <c r="C256" s="7"/>
      <c r="D256" s="78"/>
      <c r="E256" s="7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36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</row>
    <row r="257" ht="14.25" customHeight="1">
      <c r="A257" s="7"/>
      <c r="B257" s="7"/>
      <c r="C257" s="7"/>
      <c r="D257" s="78"/>
      <c r="E257" s="7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36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</row>
    <row r="258" ht="14.25" customHeight="1">
      <c r="A258" s="7"/>
      <c r="B258" s="7"/>
      <c r="C258" s="7"/>
      <c r="D258" s="78"/>
      <c r="E258" s="7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36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</row>
    <row r="259" ht="14.25" customHeight="1">
      <c r="A259" s="7"/>
      <c r="B259" s="7"/>
      <c r="C259" s="7"/>
      <c r="D259" s="78"/>
      <c r="E259" s="7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36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</row>
    <row r="260" ht="14.25" customHeight="1">
      <c r="A260" s="7"/>
      <c r="B260" s="7"/>
      <c r="C260" s="7"/>
      <c r="D260" s="78"/>
      <c r="E260" s="7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36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</row>
    <row r="261" ht="14.25" customHeight="1">
      <c r="A261" s="7"/>
      <c r="B261" s="7"/>
      <c r="C261" s="7"/>
      <c r="D261" s="78"/>
      <c r="E261" s="7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36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</row>
    <row r="262" ht="14.25" customHeight="1">
      <c r="A262" s="7"/>
      <c r="B262" s="7"/>
      <c r="C262" s="7"/>
      <c r="D262" s="78"/>
      <c r="E262" s="7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36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</row>
    <row r="263" ht="14.25" customHeight="1">
      <c r="A263" s="7"/>
      <c r="B263" s="7"/>
      <c r="C263" s="7"/>
      <c r="D263" s="78"/>
      <c r="E263" s="7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36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</row>
    <row r="264" ht="14.25" customHeight="1">
      <c r="A264" s="7"/>
      <c r="B264" s="7"/>
      <c r="C264" s="7"/>
      <c r="D264" s="78"/>
      <c r="E264" s="7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36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</row>
    <row r="265" ht="14.25" customHeight="1">
      <c r="A265" s="7"/>
      <c r="B265" s="7"/>
      <c r="C265" s="7"/>
      <c r="D265" s="78"/>
      <c r="E265" s="7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36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</row>
    <row r="266" ht="14.25" customHeight="1">
      <c r="A266" s="7"/>
      <c r="B266" s="7"/>
      <c r="C266" s="7"/>
      <c r="D266" s="78"/>
      <c r="E266" s="7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36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</row>
    <row r="267" ht="14.25" customHeight="1">
      <c r="A267" s="7"/>
      <c r="B267" s="7"/>
      <c r="C267" s="7"/>
      <c r="D267" s="78"/>
      <c r="E267" s="7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36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</row>
    <row r="268" ht="14.25" customHeight="1">
      <c r="A268" s="7"/>
      <c r="B268" s="7"/>
      <c r="C268" s="7"/>
      <c r="D268" s="78"/>
      <c r="E268" s="7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36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</row>
    <row r="269" ht="14.25" customHeight="1">
      <c r="A269" s="7"/>
      <c r="B269" s="7"/>
      <c r="C269" s="7"/>
      <c r="D269" s="78"/>
      <c r="E269" s="7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36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</row>
    <row r="270" ht="14.25" customHeight="1">
      <c r="A270" s="7"/>
      <c r="B270" s="7"/>
      <c r="C270" s="7"/>
      <c r="D270" s="78"/>
      <c r="E270" s="7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36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</row>
    <row r="271" ht="14.25" customHeight="1">
      <c r="A271" s="7"/>
      <c r="B271" s="7"/>
      <c r="C271" s="7"/>
      <c r="D271" s="78"/>
      <c r="E271" s="7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36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</row>
    <row r="272" ht="14.25" customHeight="1">
      <c r="A272" s="7"/>
      <c r="B272" s="7"/>
      <c r="C272" s="7"/>
      <c r="D272" s="78"/>
      <c r="E272" s="7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36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</row>
    <row r="273" ht="14.25" customHeight="1">
      <c r="A273" s="7"/>
      <c r="B273" s="7"/>
      <c r="C273" s="7"/>
      <c r="D273" s="78"/>
      <c r="E273" s="7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36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</row>
    <row r="274" ht="14.25" customHeight="1">
      <c r="A274" s="7"/>
      <c r="B274" s="7"/>
      <c r="C274" s="7"/>
      <c r="D274" s="78"/>
      <c r="E274" s="7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36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</row>
    <row r="275" ht="14.25" customHeight="1">
      <c r="A275" s="7"/>
      <c r="B275" s="7"/>
      <c r="C275" s="7"/>
      <c r="D275" s="78"/>
      <c r="E275" s="7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36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</row>
    <row r="276" ht="14.25" customHeight="1">
      <c r="A276" s="7"/>
      <c r="B276" s="7"/>
      <c r="C276" s="7"/>
      <c r="D276" s="78"/>
      <c r="E276" s="7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36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</row>
    <row r="277" ht="14.25" customHeight="1">
      <c r="A277" s="7"/>
      <c r="B277" s="7"/>
      <c r="C277" s="7"/>
      <c r="D277" s="78"/>
      <c r="E277" s="7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36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</row>
    <row r="278" ht="14.25" customHeight="1">
      <c r="A278" s="7"/>
      <c r="B278" s="7"/>
      <c r="C278" s="7"/>
      <c r="D278" s="78"/>
      <c r="E278" s="7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36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</row>
    <row r="279" ht="14.25" customHeight="1">
      <c r="A279" s="7"/>
      <c r="B279" s="7"/>
      <c r="C279" s="7"/>
      <c r="D279" s="78"/>
      <c r="E279" s="7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36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</row>
    <row r="280" ht="14.25" customHeight="1">
      <c r="A280" s="7"/>
      <c r="B280" s="7"/>
      <c r="C280" s="7"/>
      <c r="D280" s="78"/>
      <c r="E280" s="7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36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</row>
    <row r="281" ht="14.25" customHeight="1">
      <c r="A281" s="7"/>
      <c r="B281" s="7"/>
      <c r="C281" s="7"/>
      <c r="D281" s="78"/>
      <c r="E281" s="7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36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</row>
    <row r="282" ht="14.25" customHeight="1">
      <c r="A282" s="7"/>
      <c r="B282" s="7"/>
      <c r="C282" s="7"/>
      <c r="D282" s="78"/>
      <c r="E282" s="7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36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</row>
    <row r="283" ht="14.25" customHeight="1">
      <c r="A283" s="7"/>
      <c r="B283" s="7"/>
      <c r="C283" s="7"/>
      <c r="D283" s="78"/>
      <c r="E283" s="7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36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</row>
    <row r="284" ht="14.25" customHeight="1">
      <c r="A284" s="7"/>
      <c r="B284" s="7"/>
      <c r="C284" s="7"/>
      <c r="D284" s="78"/>
      <c r="E284" s="7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36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</row>
    <row r="285" ht="14.25" customHeight="1">
      <c r="A285" s="7"/>
      <c r="B285" s="7"/>
      <c r="C285" s="7"/>
      <c r="D285" s="78"/>
      <c r="E285" s="7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36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</row>
    <row r="286" ht="14.25" customHeight="1">
      <c r="A286" s="7"/>
      <c r="B286" s="7"/>
      <c r="C286" s="7"/>
      <c r="D286" s="78"/>
      <c r="E286" s="7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36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</row>
    <row r="287" ht="14.25" customHeight="1">
      <c r="A287" s="7"/>
      <c r="B287" s="7"/>
      <c r="C287" s="7"/>
      <c r="D287" s="78"/>
      <c r="E287" s="7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36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</row>
    <row r="288" ht="14.25" customHeight="1">
      <c r="A288" s="7"/>
      <c r="B288" s="7"/>
      <c r="C288" s="7"/>
      <c r="D288" s="78"/>
      <c r="E288" s="7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36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</row>
    <row r="289" ht="14.25" customHeight="1">
      <c r="A289" s="7"/>
      <c r="B289" s="7"/>
      <c r="C289" s="7"/>
      <c r="D289" s="78"/>
      <c r="E289" s="7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36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</row>
    <row r="290" ht="14.25" customHeight="1">
      <c r="A290" s="7"/>
      <c r="B290" s="7"/>
      <c r="C290" s="7"/>
      <c r="D290" s="78"/>
      <c r="E290" s="7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36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</row>
    <row r="291" ht="14.25" customHeight="1">
      <c r="A291" s="7"/>
      <c r="B291" s="7"/>
      <c r="C291" s="7"/>
      <c r="D291" s="78"/>
      <c r="E291" s="7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36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</row>
    <row r="292" ht="14.25" customHeight="1">
      <c r="A292" s="7"/>
      <c r="B292" s="7"/>
      <c r="C292" s="7"/>
      <c r="D292" s="78"/>
      <c r="E292" s="7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36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</row>
    <row r="293" ht="14.25" customHeight="1">
      <c r="A293" s="7"/>
      <c r="B293" s="7"/>
      <c r="C293" s="7"/>
      <c r="D293" s="78"/>
      <c r="E293" s="7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36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</row>
    <row r="294" ht="14.25" customHeight="1">
      <c r="A294" s="7"/>
      <c r="B294" s="7"/>
      <c r="C294" s="7"/>
      <c r="D294" s="78"/>
      <c r="E294" s="7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36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</row>
    <row r="295" ht="14.25" customHeight="1">
      <c r="A295" s="7"/>
      <c r="B295" s="7"/>
      <c r="C295" s="7"/>
      <c r="D295" s="78"/>
      <c r="E295" s="7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36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</row>
    <row r="296" ht="14.25" customHeight="1">
      <c r="A296" s="7"/>
      <c r="B296" s="7"/>
      <c r="C296" s="7"/>
      <c r="D296" s="78"/>
      <c r="E296" s="7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36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</row>
    <row r="297" ht="14.25" customHeight="1">
      <c r="A297" s="7"/>
      <c r="B297" s="7"/>
      <c r="C297" s="7"/>
      <c r="D297" s="78"/>
      <c r="E297" s="7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36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</row>
    <row r="298" ht="14.25" customHeight="1">
      <c r="A298" s="7"/>
      <c r="B298" s="7"/>
      <c r="C298" s="7"/>
      <c r="D298" s="78"/>
      <c r="E298" s="7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36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</row>
    <row r="299" ht="14.25" customHeight="1">
      <c r="A299" s="7"/>
      <c r="B299" s="7"/>
      <c r="C299" s="7"/>
      <c r="D299" s="78"/>
      <c r="E299" s="7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36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</row>
    <row r="300" ht="14.25" customHeight="1">
      <c r="A300" s="7"/>
      <c r="B300" s="7"/>
      <c r="C300" s="7"/>
      <c r="D300" s="78"/>
      <c r="E300" s="7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36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</row>
    <row r="301" ht="14.25" customHeight="1">
      <c r="A301" s="7"/>
      <c r="B301" s="7"/>
      <c r="C301" s="7"/>
      <c r="D301" s="78"/>
      <c r="E301" s="7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36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</row>
    <row r="302" ht="14.25" customHeight="1">
      <c r="A302" s="7"/>
      <c r="B302" s="7"/>
      <c r="C302" s="7"/>
      <c r="D302" s="3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36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</row>
    <row r="303" ht="14.25" customHeight="1">
      <c r="A303" s="7"/>
      <c r="B303" s="7"/>
      <c r="C303" s="7"/>
      <c r="D303" s="3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36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</row>
    <row r="304" ht="14.25" customHeight="1">
      <c r="A304" s="7"/>
      <c r="B304" s="7"/>
      <c r="C304" s="7"/>
      <c r="D304" s="3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36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</row>
    <row r="305" ht="14.25" customHeight="1">
      <c r="A305" s="7"/>
      <c r="B305" s="7"/>
      <c r="C305" s="7"/>
      <c r="D305" s="3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36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</row>
    <row r="306" ht="14.25" customHeight="1">
      <c r="A306" s="7"/>
      <c r="B306" s="7"/>
      <c r="C306" s="7"/>
      <c r="D306" s="3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36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</row>
    <row r="307" ht="14.25" customHeight="1">
      <c r="A307" s="7"/>
      <c r="B307" s="7"/>
      <c r="C307" s="7"/>
      <c r="D307" s="3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36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</row>
    <row r="308" ht="14.25" customHeight="1">
      <c r="A308" s="7"/>
      <c r="B308" s="7"/>
      <c r="C308" s="7"/>
      <c r="D308" s="3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36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</row>
    <row r="309" ht="14.25" customHeight="1">
      <c r="A309" s="7"/>
      <c r="B309" s="7"/>
      <c r="C309" s="7"/>
      <c r="D309" s="3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36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</row>
    <row r="310" ht="14.25" customHeight="1">
      <c r="A310" s="7"/>
      <c r="B310" s="7"/>
      <c r="C310" s="7"/>
      <c r="D310" s="3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36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</row>
    <row r="311" ht="14.25" customHeight="1">
      <c r="A311" s="7"/>
      <c r="B311" s="7"/>
      <c r="C311" s="7"/>
      <c r="D311" s="3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36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</row>
    <row r="312" ht="14.25" customHeight="1">
      <c r="A312" s="7"/>
      <c r="B312" s="7"/>
      <c r="C312" s="7"/>
      <c r="D312" s="3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36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</row>
    <row r="313" ht="14.25" customHeight="1">
      <c r="A313" s="7"/>
      <c r="B313" s="7"/>
      <c r="C313" s="7"/>
      <c r="D313" s="3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36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</row>
    <row r="314" ht="14.25" customHeight="1">
      <c r="A314" s="7"/>
      <c r="B314" s="7"/>
      <c r="C314" s="7"/>
      <c r="D314" s="3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36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</row>
    <row r="315" ht="14.25" customHeight="1">
      <c r="A315" s="7"/>
      <c r="B315" s="7"/>
      <c r="C315" s="7"/>
      <c r="D315" s="3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36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</row>
    <row r="316" ht="14.25" customHeight="1">
      <c r="A316" s="7"/>
      <c r="B316" s="7"/>
      <c r="C316" s="7"/>
      <c r="D316" s="3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36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</row>
    <row r="317" ht="14.25" customHeight="1">
      <c r="A317" s="7"/>
      <c r="B317" s="7"/>
      <c r="C317" s="7"/>
      <c r="D317" s="3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36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</row>
    <row r="318" ht="14.25" customHeight="1">
      <c r="A318" s="7"/>
      <c r="B318" s="7"/>
      <c r="C318" s="7"/>
      <c r="D318" s="3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36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</row>
    <row r="319" ht="14.25" customHeight="1">
      <c r="A319" s="7"/>
      <c r="B319" s="7"/>
      <c r="C319" s="7"/>
      <c r="D319" s="3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36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</row>
    <row r="320" ht="14.25" customHeight="1">
      <c r="A320" s="7"/>
      <c r="B320" s="7"/>
      <c r="C320" s="7"/>
      <c r="D320" s="3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36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</row>
    <row r="321" ht="14.25" customHeight="1">
      <c r="A321" s="7"/>
      <c r="B321" s="7"/>
      <c r="C321" s="7"/>
      <c r="D321" s="3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36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</row>
    <row r="322" ht="14.25" customHeight="1">
      <c r="A322" s="7"/>
      <c r="B322" s="7"/>
      <c r="C322" s="7"/>
      <c r="D322" s="3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36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</row>
    <row r="323" ht="14.25" customHeight="1">
      <c r="A323" s="7"/>
      <c r="B323" s="7"/>
      <c r="C323" s="7"/>
      <c r="D323" s="3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36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</row>
    <row r="324" ht="14.25" customHeight="1">
      <c r="A324" s="7"/>
      <c r="B324" s="7"/>
      <c r="C324" s="7"/>
      <c r="D324" s="3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36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</row>
    <row r="325" ht="14.25" customHeight="1">
      <c r="A325" s="7"/>
      <c r="B325" s="7"/>
      <c r="C325" s="7"/>
      <c r="D325" s="3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36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</row>
    <row r="326" ht="14.25" customHeight="1">
      <c r="A326" s="7"/>
      <c r="B326" s="7"/>
      <c r="C326" s="7"/>
      <c r="D326" s="3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36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</row>
    <row r="327" ht="14.25" customHeight="1">
      <c r="A327" s="7"/>
      <c r="B327" s="7"/>
      <c r="C327" s="7"/>
      <c r="D327" s="3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36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</row>
    <row r="328" ht="14.25" customHeight="1">
      <c r="A328" s="7"/>
      <c r="B328" s="7"/>
      <c r="C328" s="7"/>
      <c r="D328" s="3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36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</row>
    <row r="329" ht="14.25" customHeight="1">
      <c r="A329" s="7"/>
      <c r="B329" s="7"/>
      <c r="C329" s="7"/>
      <c r="D329" s="3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36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</row>
    <row r="330" ht="14.25" customHeight="1">
      <c r="A330" s="7"/>
      <c r="B330" s="7"/>
      <c r="C330" s="7"/>
      <c r="D330" s="3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36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</row>
    <row r="331" ht="14.25" customHeight="1">
      <c r="A331" s="7"/>
      <c r="B331" s="7"/>
      <c r="C331" s="7"/>
      <c r="D331" s="3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36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</row>
    <row r="332" ht="14.25" customHeight="1">
      <c r="A332" s="7"/>
      <c r="B332" s="7"/>
      <c r="C332" s="7"/>
      <c r="D332" s="3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36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</row>
    <row r="333" ht="14.25" customHeight="1">
      <c r="A333" s="7"/>
      <c r="B333" s="7"/>
      <c r="C333" s="7"/>
      <c r="D333" s="3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36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</row>
    <row r="334" ht="14.25" customHeight="1">
      <c r="A334" s="7"/>
      <c r="B334" s="7"/>
      <c r="C334" s="7"/>
      <c r="D334" s="3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36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</row>
    <row r="335" ht="14.25" customHeight="1">
      <c r="A335" s="7"/>
      <c r="B335" s="7"/>
      <c r="C335" s="7"/>
      <c r="D335" s="3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36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</row>
    <row r="336" ht="14.25" customHeight="1">
      <c r="A336" s="7"/>
      <c r="B336" s="7"/>
      <c r="C336" s="7"/>
      <c r="D336" s="3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36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</row>
    <row r="337" ht="14.25" customHeight="1">
      <c r="A337" s="7"/>
      <c r="B337" s="7"/>
      <c r="C337" s="7"/>
      <c r="D337" s="3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36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</row>
    <row r="338" ht="14.25" customHeight="1">
      <c r="A338" s="7"/>
      <c r="B338" s="7"/>
      <c r="C338" s="7"/>
      <c r="D338" s="3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36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</row>
    <row r="339" ht="14.25" customHeight="1">
      <c r="A339" s="7"/>
      <c r="B339" s="7"/>
      <c r="C339" s="7"/>
      <c r="D339" s="3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36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</row>
    <row r="340" ht="14.25" customHeight="1">
      <c r="A340" s="7"/>
      <c r="B340" s="7"/>
      <c r="C340" s="7"/>
      <c r="D340" s="3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36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</row>
    <row r="341" ht="14.25" customHeight="1">
      <c r="A341" s="7"/>
      <c r="B341" s="7"/>
      <c r="C341" s="7"/>
      <c r="D341" s="3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36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</row>
    <row r="342" ht="14.25" customHeight="1">
      <c r="A342" s="7"/>
      <c r="B342" s="7"/>
      <c r="C342" s="7"/>
      <c r="D342" s="3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36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</row>
    <row r="343" ht="14.25" customHeight="1">
      <c r="A343" s="7"/>
      <c r="B343" s="7"/>
      <c r="C343" s="7"/>
      <c r="D343" s="3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36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</row>
    <row r="344" ht="14.25" customHeight="1">
      <c r="A344" s="7"/>
      <c r="B344" s="7"/>
      <c r="C344" s="7"/>
      <c r="D344" s="3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36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</row>
    <row r="345" ht="14.25" customHeight="1">
      <c r="A345" s="7"/>
      <c r="B345" s="7"/>
      <c r="C345" s="7"/>
      <c r="D345" s="3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36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</row>
    <row r="346" ht="14.25" customHeight="1">
      <c r="A346" s="7"/>
      <c r="B346" s="7"/>
      <c r="C346" s="7"/>
      <c r="D346" s="3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36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</row>
    <row r="347" ht="14.25" customHeight="1">
      <c r="A347" s="7"/>
      <c r="B347" s="7"/>
      <c r="C347" s="7"/>
      <c r="D347" s="3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36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</row>
    <row r="348" ht="14.25" customHeight="1">
      <c r="A348" s="7"/>
      <c r="B348" s="7"/>
      <c r="C348" s="7"/>
      <c r="D348" s="3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36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</row>
    <row r="349" ht="14.25" customHeight="1">
      <c r="A349" s="7"/>
      <c r="B349" s="7"/>
      <c r="C349" s="7"/>
      <c r="D349" s="3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36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</row>
    <row r="350" ht="14.25" customHeight="1">
      <c r="A350" s="7"/>
      <c r="B350" s="7"/>
      <c r="C350" s="7"/>
      <c r="D350" s="3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36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</row>
    <row r="351" ht="14.25" customHeight="1">
      <c r="A351" s="7"/>
      <c r="B351" s="7"/>
      <c r="C351" s="7"/>
      <c r="D351" s="3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36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</row>
    <row r="352" ht="14.25" customHeight="1">
      <c r="A352" s="7"/>
      <c r="B352" s="7"/>
      <c r="C352" s="7"/>
      <c r="D352" s="3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36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</row>
    <row r="353" ht="14.25" customHeight="1">
      <c r="A353" s="7"/>
      <c r="B353" s="7"/>
      <c r="C353" s="7"/>
      <c r="D353" s="3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36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</row>
    <row r="354" ht="14.25" customHeight="1">
      <c r="A354" s="7"/>
      <c r="B354" s="7"/>
      <c r="C354" s="7"/>
      <c r="D354" s="3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36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</row>
    <row r="355" ht="14.25" customHeight="1">
      <c r="A355" s="7"/>
      <c r="B355" s="7"/>
      <c r="C355" s="7"/>
      <c r="D355" s="3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36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</row>
    <row r="356" ht="14.25" customHeight="1">
      <c r="A356" s="7"/>
      <c r="B356" s="7"/>
      <c r="C356" s="7"/>
      <c r="D356" s="3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36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</row>
    <row r="357" ht="14.25" customHeight="1">
      <c r="A357" s="7"/>
      <c r="B357" s="7"/>
      <c r="C357" s="7"/>
      <c r="D357" s="3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36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</row>
    <row r="358" ht="14.25" customHeight="1">
      <c r="A358" s="7"/>
      <c r="B358" s="7"/>
      <c r="C358" s="7"/>
      <c r="D358" s="3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36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</row>
    <row r="359" ht="14.25" customHeight="1">
      <c r="A359" s="7"/>
      <c r="B359" s="7"/>
      <c r="C359" s="7"/>
      <c r="D359" s="3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36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</row>
    <row r="360" ht="14.25" customHeight="1">
      <c r="A360" s="7"/>
      <c r="B360" s="7"/>
      <c r="C360" s="7"/>
      <c r="D360" s="3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36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</row>
    <row r="361" ht="14.25" customHeight="1">
      <c r="A361" s="7"/>
      <c r="B361" s="7"/>
      <c r="C361" s="7"/>
      <c r="D361" s="3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36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</row>
    <row r="362" ht="14.25" customHeight="1">
      <c r="A362" s="7"/>
      <c r="B362" s="7"/>
      <c r="C362" s="7"/>
      <c r="D362" s="3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36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</row>
    <row r="363" ht="14.25" customHeight="1">
      <c r="A363" s="7"/>
      <c r="B363" s="7"/>
      <c r="C363" s="7"/>
      <c r="D363" s="3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36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</row>
    <row r="364" ht="14.25" customHeight="1">
      <c r="A364" s="7"/>
      <c r="B364" s="7"/>
      <c r="C364" s="7"/>
      <c r="D364" s="3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36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</row>
    <row r="365" ht="14.25" customHeight="1">
      <c r="A365" s="7"/>
      <c r="B365" s="7"/>
      <c r="C365" s="7"/>
      <c r="D365" s="3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36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</row>
    <row r="366" ht="14.25" customHeight="1">
      <c r="A366" s="7"/>
      <c r="B366" s="7"/>
      <c r="C366" s="7"/>
      <c r="D366" s="3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36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</row>
    <row r="367" ht="14.25" customHeight="1">
      <c r="A367" s="7"/>
      <c r="B367" s="7"/>
      <c r="C367" s="7"/>
      <c r="D367" s="3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36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</row>
    <row r="368" ht="14.25" customHeight="1">
      <c r="A368" s="7"/>
      <c r="B368" s="7"/>
      <c r="C368" s="7"/>
      <c r="D368" s="3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3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</row>
    <row r="369" ht="14.25" customHeight="1">
      <c r="A369" s="7"/>
      <c r="B369" s="7"/>
      <c r="C369" s="7"/>
      <c r="D369" s="3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36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</row>
    <row r="370" ht="14.25" customHeight="1">
      <c r="A370" s="7"/>
      <c r="B370" s="7"/>
      <c r="C370" s="7"/>
      <c r="D370" s="3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36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</row>
    <row r="371" ht="14.25" customHeight="1">
      <c r="A371" s="7"/>
      <c r="B371" s="7"/>
      <c r="C371" s="7"/>
      <c r="D371" s="3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36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</row>
    <row r="372" ht="14.25" customHeight="1">
      <c r="A372" s="7"/>
      <c r="B372" s="7"/>
      <c r="C372" s="7"/>
      <c r="D372" s="3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36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</row>
    <row r="373" ht="14.25" customHeight="1">
      <c r="A373" s="7"/>
      <c r="B373" s="7"/>
      <c r="C373" s="7"/>
      <c r="D373" s="3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36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</row>
    <row r="374" ht="14.25" customHeight="1">
      <c r="A374" s="7"/>
      <c r="B374" s="7"/>
      <c r="C374" s="7"/>
      <c r="D374" s="3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36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</row>
    <row r="375" ht="14.25" customHeight="1">
      <c r="A375" s="7"/>
      <c r="B375" s="7"/>
      <c r="C375" s="7"/>
      <c r="D375" s="3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36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</row>
    <row r="376" ht="14.25" customHeight="1">
      <c r="A376" s="7"/>
      <c r="B376" s="7"/>
      <c r="C376" s="7"/>
      <c r="D376" s="3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36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</row>
    <row r="377" ht="14.25" customHeight="1">
      <c r="A377" s="7"/>
      <c r="B377" s="7"/>
      <c r="C377" s="7"/>
      <c r="D377" s="3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36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</row>
    <row r="378" ht="14.25" customHeight="1">
      <c r="A378" s="7"/>
      <c r="B378" s="7"/>
      <c r="C378" s="7"/>
      <c r="D378" s="3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36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</row>
    <row r="379" ht="14.25" customHeight="1">
      <c r="A379" s="7"/>
      <c r="B379" s="7"/>
      <c r="C379" s="7"/>
      <c r="D379" s="3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36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</row>
    <row r="380" ht="14.25" customHeight="1">
      <c r="A380" s="7"/>
      <c r="B380" s="7"/>
      <c r="C380" s="7"/>
      <c r="D380" s="3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36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</row>
    <row r="381" ht="14.25" customHeight="1">
      <c r="A381" s="7"/>
      <c r="B381" s="7"/>
      <c r="C381" s="7"/>
      <c r="D381" s="3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36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</row>
    <row r="382" ht="14.25" customHeight="1">
      <c r="A382" s="7"/>
      <c r="B382" s="7"/>
      <c r="C382" s="7"/>
      <c r="D382" s="3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36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</row>
    <row r="383" ht="14.25" customHeight="1">
      <c r="A383" s="7"/>
      <c r="B383" s="7"/>
      <c r="C383" s="7"/>
      <c r="D383" s="3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36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</row>
    <row r="384" ht="14.25" customHeight="1">
      <c r="A384" s="7"/>
      <c r="B384" s="7"/>
      <c r="C384" s="7"/>
      <c r="D384" s="3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36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</row>
    <row r="385" ht="14.25" customHeight="1">
      <c r="A385" s="7"/>
      <c r="B385" s="7"/>
      <c r="C385" s="7"/>
      <c r="D385" s="3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36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</row>
    <row r="386" ht="14.25" customHeight="1">
      <c r="A386" s="7"/>
      <c r="B386" s="7"/>
      <c r="C386" s="7"/>
      <c r="D386" s="3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36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</row>
    <row r="387" ht="14.25" customHeight="1">
      <c r="A387" s="7"/>
      <c r="B387" s="7"/>
      <c r="C387" s="7"/>
      <c r="D387" s="3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36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</row>
    <row r="388" ht="14.25" customHeight="1">
      <c r="A388" s="7"/>
      <c r="B388" s="7"/>
      <c r="C388" s="7"/>
      <c r="D388" s="3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36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</row>
    <row r="389" ht="14.25" customHeight="1">
      <c r="A389" s="7"/>
      <c r="B389" s="7"/>
      <c r="C389" s="7"/>
      <c r="D389" s="3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36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</row>
    <row r="390" ht="14.25" customHeight="1">
      <c r="A390" s="7"/>
      <c r="B390" s="7"/>
      <c r="C390" s="7"/>
      <c r="D390" s="3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36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</row>
    <row r="391" ht="14.25" customHeight="1">
      <c r="A391" s="7"/>
      <c r="B391" s="7"/>
      <c r="C391" s="7"/>
      <c r="D391" s="3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36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</row>
    <row r="392" ht="14.25" customHeight="1">
      <c r="A392" s="7"/>
      <c r="B392" s="7"/>
      <c r="C392" s="7"/>
      <c r="D392" s="3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36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</row>
    <row r="393" ht="14.25" customHeight="1">
      <c r="A393" s="7"/>
      <c r="B393" s="7"/>
      <c r="C393" s="7"/>
      <c r="D393" s="3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36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</row>
    <row r="394" ht="14.25" customHeight="1">
      <c r="A394" s="7"/>
      <c r="B394" s="7"/>
      <c r="C394" s="7"/>
      <c r="D394" s="3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36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</row>
    <row r="395" ht="14.25" customHeight="1">
      <c r="A395" s="7"/>
      <c r="B395" s="7"/>
      <c r="C395" s="7"/>
      <c r="D395" s="3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36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</row>
    <row r="396" ht="14.25" customHeight="1">
      <c r="A396" s="7"/>
      <c r="B396" s="7"/>
      <c r="C396" s="7"/>
      <c r="D396" s="3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36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</row>
    <row r="397" ht="14.25" customHeight="1">
      <c r="A397" s="7"/>
      <c r="B397" s="7"/>
      <c r="C397" s="7"/>
      <c r="D397" s="3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36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</row>
    <row r="398" ht="14.25" customHeight="1">
      <c r="A398" s="7"/>
      <c r="B398" s="7"/>
      <c r="C398" s="7"/>
      <c r="D398" s="3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36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</row>
    <row r="399" ht="14.25" customHeight="1">
      <c r="A399" s="7"/>
      <c r="B399" s="7"/>
      <c r="C399" s="7"/>
      <c r="D399" s="3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36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</row>
    <row r="400" ht="14.25" customHeight="1">
      <c r="A400" s="7"/>
      <c r="B400" s="7"/>
      <c r="C400" s="7"/>
      <c r="D400" s="3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36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</row>
    <row r="401" ht="14.25" customHeight="1">
      <c r="A401" s="7"/>
      <c r="B401" s="7"/>
      <c r="C401" s="7"/>
      <c r="D401" s="3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36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</row>
    <row r="402" ht="14.25" customHeight="1">
      <c r="A402" s="7"/>
      <c r="B402" s="7"/>
      <c r="C402" s="7"/>
      <c r="D402" s="3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36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</row>
    <row r="403" ht="14.25" customHeight="1">
      <c r="A403" s="7"/>
      <c r="B403" s="7"/>
      <c r="C403" s="7"/>
      <c r="D403" s="3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36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</row>
    <row r="404" ht="14.25" customHeight="1">
      <c r="A404" s="7"/>
      <c r="B404" s="7"/>
      <c r="C404" s="7"/>
      <c r="D404" s="3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36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</row>
    <row r="405" ht="14.25" customHeight="1">
      <c r="A405" s="7"/>
      <c r="B405" s="7"/>
      <c r="C405" s="7"/>
      <c r="D405" s="3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36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</row>
    <row r="406" ht="14.25" customHeight="1">
      <c r="A406" s="7"/>
      <c r="B406" s="7"/>
      <c r="C406" s="7"/>
      <c r="D406" s="3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36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</row>
    <row r="407" ht="14.25" customHeight="1">
      <c r="A407" s="7"/>
      <c r="B407" s="7"/>
      <c r="C407" s="7"/>
      <c r="D407" s="3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36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</row>
    <row r="408" ht="14.25" customHeight="1">
      <c r="A408" s="7"/>
      <c r="B408" s="7"/>
      <c r="C408" s="7"/>
      <c r="D408" s="3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36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</row>
    <row r="409" ht="14.25" customHeight="1">
      <c r="A409" s="7"/>
      <c r="B409" s="7"/>
      <c r="C409" s="7"/>
      <c r="D409" s="3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36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</row>
    <row r="410" ht="14.25" customHeight="1">
      <c r="A410" s="7"/>
      <c r="B410" s="7"/>
      <c r="C410" s="7"/>
      <c r="D410" s="3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36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</row>
    <row r="411" ht="14.25" customHeight="1">
      <c r="A411" s="7"/>
      <c r="B411" s="7"/>
      <c r="C411" s="7"/>
      <c r="D411" s="3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36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</row>
    <row r="412" ht="14.25" customHeight="1">
      <c r="A412" s="7"/>
      <c r="B412" s="7"/>
      <c r="C412" s="7"/>
      <c r="D412" s="3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36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</row>
    <row r="413" ht="14.25" customHeight="1">
      <c r="A413" s="7"/>
      <c r="B413" s="7"/>
      <c r="C413" s="7"/>
      <c r="D413" s="3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36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</row>
    <row r="414" ht="14.25" customHeight="1">
      <c r="A414" s="7"/>
      <c r="B414" s="7"/>
      <c r="C414" s="7"/>
      <c r="D414" s="3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36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</row>
    <row r="415" ht="14.25" customHeight="1">
      <c r="A415" s="7"/>
      <c r="B415" s="7"/>
      <c r="C415" s="7"/>
      <c r="D415" s="3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36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</row>
    <row r="416" ht="14.25" customHeight="1">
      <c r="A416" s="7"/>
      <c r="B416" s="7"/>
      <c r="C416" s="7"/>
      <c r="D416" s="3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36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</row>
    <row r="417" ht="14.25" customHeight="1">
      <c r="A417" s="7"/>
      <c r="B417" s="7"/>
      <c r="C417" s="7"/>
      <c r="D417" s="3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36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</row>
    <row r="418" ht="14.25" customHeight="1">
      <c r="A418" s="7"/>
      <c r="B418" s="7"/>
      <c r="C418" s="7"/>
      <c r="D418" s="3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36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</row>
    <row r="419" ht="14.25" customHeight="1">
      <c r="A419" s="7"/>
      <c r="B419" s="7"/>
      <c r="C419" s="7"/>
      <c r="D419" s="3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36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</row>
    <row r="420" ht="14.25" customHeight="1">
      <c r="A420" s="7"/>
      <c r="B420" s="7"/>
      <c r="C420" s="7"/>
      <c r="D420" s="3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36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</row>
    <row r="421" ht="14.25" customHeight="1">
      <c r="A421" s="7"/>
      <c r="B421" s="7"/>
      <c r="C421" s="7"/>
      <c r="D421" s="3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36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</row>
    <row r="422" ht="14.25" customHeight="1">
      <c r="A422" s="7"/>
      <c r="B422" s="7"/>
      <c r="C422" s="7"/>
      <c r="D422" s="3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36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</row>
    <row r="423" ht="14.25" customHeight="1">
      <c r="A423" s="7"/>
      <c r="B423" s="7"/>
      <c r="C423" s="7"/>
      <c r="D423" s="3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36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</row>
    <row r="424" ht="14.25" customHeight="1">
      <c r="A424" s="7"/>
      <c r="B424" s="7"/>
      <c r="C424" s="7"/>
      <c r="D424" s="3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36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</row>
    <row r="425" ht="14.25" customHeight="1">
      <c r="A425" s="7"/>
      <c r="B425" s="7"/>
      <c r="C425" s="7"/>
      <c r="D425" s="3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36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</row>
    <row r="426" ht="14.25" customHeight="1">
      <c r="A426" s="7"/>
      <c r="B426" s="7"/>
      <c r="C426" s="7"/>
      <c r="D426" s="3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36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</row>
    <row r="427" ht="14.25" customHeight="1">
      <c r="A427" s="7"/>
      <c r="B427" s="7"/>
      <c r="C427" s="7"/>
      <c r="D427" s="3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36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</row>
    <row r="428" ht="14.25" customHeight="1">
      <c r="A428" s="7"/>
      <c r="B428" s="7"/>
      <c r="C428" s="7"/>
      <c r="D428" s="3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36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</row>
    <row r="429" ht="14.25" customHeight="1">
      <c r="A429" s="7"/>
      <c r="B429" s="7"/>
      <c r="C429" s="7"/>
      <c r="D429" s="3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36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</row>
    <row r="430" ht="14.25" customHeight="1">
      <c r="A430" s="7"/>
      <c r="B430" s="7"/>
      <c r="C430" s="7"/>
      <c r="D430" s="3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36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</row>
    <row r="431" ht="14.25" customHeight="1">
      <c r="A431" s="7"/>
      <c r="B431" s="7"/>
      <c r="C431" s="7"/>
      <c r="D431" s="3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36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</row>
    <row r="432" ht="14.25" customHeight="1">
      <c r="A432" s="7"/>
      <c r="B432" s="7"/>
      <c r="C432" s="7"/>
      <c r="D432" s="3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36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</row>
    <row r="433" ht="14.25" customHeight="1">
      <c r="A433" s="7"/>
      <c r="B433" s="7"/>
      <c r="C433" s="7"/>
      <c r="D433" s="3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36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</row>
    <row r="434" ht="14.25" customHeight="1">
      <c r="A434" s="7"/>
      <c r="B434" s="7"/>
      <c r="C434" s="7"/>
      <c r="D434" s="3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36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</row>
    <row r="435" ht="14.25" customHeight="1">
      <c r="A435" s="7"/>
      <c r="B435" s="7"/>
      <c r="C435" s="7"/>
      <c r="D435" s="3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36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</row>
    <row r="436" ht="14.25" customHeight="1">
      <c r="A436" s="7"/>
      <c r="B436" s="7"/>
      <c r="C436" s="7"/>
      <c r="D436" s="3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36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</row>
    <row r="437" ht="14.25" customHeight="1">
      <c r="A437" s="7"/>
      <c r="B437" s="7"/>
      <c r="C437" s="7"/>
      <c r="D437" s="3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36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</row>
    <row r="438" ht="14.25" customHeight="1">
      <c r="A438" s="7"/>
      <c r="B438" s="7"/>
      <c r="C438" s="7"/>
      <c r="D438" s="3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36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</row>
    <row r="439" ht="14.25" customHeight="1">
      <c r="A439" s="7"/>
      <c r="B439" s="7"/>
      <c r="C439" s="7"/>
      <c r="D439" s="3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36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</row>
    <row r="440" ht="14.25" customHeight="1">
      <c r="A440" s="7"/>
      <c r="B440" s="7"/>
      <c r="C440" s="7"/>
      <c r="D440" s="3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36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</row>
    <row r="441" ht="14.25" customHeight="1">
      <c r="A441" s="7"/>
      <c r="B441" s="7"/>
      <c r="C441" s="7"/>
      <c r="D441" s="3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36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</row>
    <row r="442" ht="14.25" customHeight="1">
      <c r="A442" s="7"/>
      <c r="B442" s="7"/>
      <c r="C442" s="7"/>
      <c r="D442" s="3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36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</row>
    <row r="443" ht="14.25" customHeight="1">
      <c r="A443" s="7"/>
      <c r="B443" s="7"/>
      <c r="C443" s="7"/>
      <c r="D443" s="3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36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</row>
    <row r="444" ht="14.25" customHeight="1">
      <c r="A444" s="7"/>
      <c r="B444" s="7"/>
      <c r="C444" s="7"/>
      <c r="D444" s="3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36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</row>
    <row r="445" ht="14.25" customHeight="1">
      <c r="A445" s="7"/>
      <c r="B445" s="7"/>
      <c r="C445" s="7"/>
      <c r="D445" s="3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36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</row>
    <row r="446" ht="14.25" customHeight="1">
      <c r="A446" s="7"/>
      <c r="B446" s="7"/>
      <c r="C446" s="7"/>
      <c r="D446" s="3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36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</row>
    <row r="447" ht="14.25" customHeight="1">
      <c r="A447" s="7"/>
      <c r="B447" s="7"/>
      <c r="C447" s="7"/>
      <c r="D447" s="3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36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</row>
    <row r="448" ht="14.25" customHeight="1">
      <c r="A448" s="7"/>
      <c r="B448" s="7"/>
      <c r="C448" s="7"/>
      <c r="D448" s="3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36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</row>
    <row r="449" ht="14.25" customHeight="1">
      <c r="A449" s="7"/>
      <c r="B449" s="7"/>
      <c r="C449" s="7"/>
      <c r="D449" s="3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36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</row>
    <row r="450" ht="14.25" customHeight="1">
      <c r="A450" s="7"/>
      <c r="B450" s="7"/>
      <c r="C450" s="7"/>
      <c r="D450" s="3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36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</row>
    <row r="451" ht="14.25" customHeight="1">
      <c r="A451" s="7"/>
      <c r="B451" s="7"/>
      <c r="C451" s="7"/>
      <c r="D451" s="3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36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</row>
    <row r="452" ht="14.25" customHeight="1">
      <c r="A452" s="7"/>
      <c r="B452" s="7"/>
      <c r="C452" s="7"/>
      <c r="D452" s="3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36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</row>
    <row r="453" ht="14.25" customHeight="1">
      <c r="A453" s="7"/>
      <c r="B453" s="7"/>
      <c r="C453" s="7"/>
      <c r="D453" s="3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36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</row>
    <row r="454" ht="14.25" customHeight="1">
      <c r="A454" s="7"/>
      <c r="B454" s="7"/>
      <c r="C454" s="7"/>
      <c r="D454" s="3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36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</row>
    <row r="455" ht="14.25" customHeight="1">
      <c r="A455" s="7"/>
      <c r="B455" s="7"/>
      <c r="C455" s="7"/>
      <c r="D455" s="3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36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</row>
    <row r="456" ht="14.25" customHeight="1">
      <c r="A456" s="7"/>
      <c r="B456" s="7"/>
      <c r="C456" s="7"/>
      <c r="D456" s="3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36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</row>
    <row r="457" ht="14.25" customHeight="1">
      <c r="A457" s="7"/>
      <c r="B457" s="7"/>
      <c r="C457" s="7"/>
      <c r="D457" s="3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36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</row>
    <row r="458" ht="14.25" customHeight="1">
      <c r="A458" s="7"/>
      <c r="B458" s="7"/>
      <c r="C458" s="7"/>
      <c r="D458" s="3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36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</row>
    <row r="459" ht="14.25" customHeight="1">
      <c r="A459" s="7"/>
      <c r="B459" s="7"/>
      <c r="C459" s="7"/>
      <c r="D459" s="3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36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</row>
    <row r="460" ht="14.25" customHeight="1">
      <c r="A460" s="7"/>
      <c r="B460" s="7"/>
      <c r="C460" s="7"/>
      <c r="D460" s="3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36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</row>
    <row r="461" ht="14.25" customHeight="1">
      <c r="A461" s="7"/>
      <c r="B461" s="7"/>
      <c r="C461" s="7"/>
      <c r="D461" s="3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36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</row>
    <row r="462" ht="14.25" customHeight="1">
      <c r="A462" s="7"/>
      <c r="B462" s="7"/>
      <c r="C462" s="7"/>
      <c r="D462" s="3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36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</row>
    <row r="463" ht="14.25" customHeight="1">
      <c r="A463" s="7"/>
      <c r="B463" s="7"/>
      <c r="C463" s="7"/>
      <c r="D463" s="3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36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</row>
    <row r="464" ht="14.25" customHeight="1">
      <c r="A464" s="7"/>
      <c r="B464" s="7"/>
      <c r="C464" s="7"/>
      <c r="D464" s="3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36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</row>
    <row r="465" ht="14.25" customHeight="1">
      <c r="A465" s="7"/>
      <c r="B465" s="7"/>
      <c r="C465" s="7"/>
      <c r="D465" s="3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36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</row>
    <row r="466" ht="14.25" customHeight="1">
      <c r="A466" s="7"/>
      <c r="B466" s="7"/>
      <c r="C466" s="7"/>
      <c r="D466" s="3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36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</row>
    <row r="467" ht="14.25" customHeight="1">
      <c r="A467" s="7"/>
      <c r="B467" s="7"/>
      <c r="C467" s="7"/>
      <c r="D467" s="3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36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</row>
    <row r="468" ht="14.25" customHeight="1">
      <c r="A468" s="7"/>
      <c r="B468" s="7"/>
      <c r="C468" s="7"/>
      <c r="D468" s="3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36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</row>
    <row r="469" ht="14.25" customHeight="1">
      <c r="A469" s="7"/>
      <c r="B469" s="7"/>
      <c r="C469" s="7"/>
      <c r="D469" s="3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36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</row>
    <row r="470" ht="14.25" customHeight="1">
      <c r="A470" s="7"/>
      <c r="B470" s="7"/>
      <c r="C470" s="7"/>
      <c r="D470" s="3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36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</row>
    <row r="471" ht="14.25" customHeight="1">
      <c r="A471" s="7"/>
      <c r="B471" s="7"/>
      <c r="C471" s="7"/>
      <c r="D471" s="3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36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</row>
    <row r="472" ht="14.25" customHeight="1">
      <c r="A472" s="7"/>
      <c r="B472" s="7"/>
      <c r="C472" s="7"/>
      <c r="D472" s="3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36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</row>
    <row r="473" ht="14.25" customHeight="1">
      <c r="A473" s="7"/>
      <c r="B473" s="7"/>
      <c r="C473" s="7"/>
      <c r="D473" s="3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36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</row>
    <row r="474" ht="14.25" customHeight="1">
      <c r="A474" s="7"/>
      <c r="B474" s="7"/>
      <c r="C474" s="7"/>
      <c r="D474" s="3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36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</row>
    <row r="475" ht="14.25" customHeight="1">
      <c r="A475" s="7"/>
      <c r="B475" s="7"/>
      <c r="C475" s="7"/>
      <c r="D475" s="3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36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</row>
    <row r="476" ht="14.25" customHeight="1">
      <c r="A476" s="7"/>
      <c r="B476" s="7"/>
      <c r="C476" s="7"/>
      <c r="D476" s="3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36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</row>
    <row r="477" ht="14.25" customHeight="1">
      <c r="A477" s="7"/>
      <c r="B477" s="7"/>
      <c r="C477" s="7"/>
      <c r="D477" s="3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36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</row>
    <row r="478" ht="14.25" customHeight="1">
      <c r="A478" s="7"/>
      <c r="B478" s="7"/>
      <c r="C478" s="7"/>
      <c r="D478" s="3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36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</row>
    <row r="479" ht="14.25" customHeight="1">
      <c r="A479" s="7"/>
      <c r="B479" s="7"/>
      <c r="C479" s="7"/>
      <c r="D479" s="3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36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</row>
    <row r="480" ht="14.25" customHeight="1">
      <c r="A480" s="7"/>
      <c r="B480" s="7"/>
      <c r="C480" s="7"/>
      <c r="D480" s="3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36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</row>
    <row r="481" ht="14.25" customHeight="1">
      <c r="A481" s="7"/>
      <c r="B481" s="7"/>
      <c r="C481" s="7"/>
      <c r="D481" s="3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36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</row>
    <row r="482" ht="14.25" customHeight="1">
      <c r="A482" s="7"/>
      <c r="B482" s="7"/>
      <c r="C482" s="7"/>
      <c r="D482" s="3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36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</row>
    <row r="483" ht="14.25" customHeight="1">
      <c r="A483" s="7"/>
      <c r="B483" s="7"/>
      <c r="C483" s="7"/>
      <c r="D483" s="3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36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</row>
    <row r="484" ht="14.25" customHeight="1">
      <c r="A484" s="7"/>
      <c r="B484" s="7"/>
      <c r="C484" s="7"/>
      <c r="D484" s="3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36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</row>
    <row r="485" ht="14.25" customHeight="1">
      <c r="A485" s="7"/>
      <c r="B485" s="7"/>
      <c r="C485" s="7"/>
      <c r="D485" s="3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36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</row>
    <row r="486" ht="14.25" customHeight="1">
      <c r="A486" s="7"/>
      <c r="B486" s="7"/>
      <c r="C486" s="7"/>
      <c r="D486" s="3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36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</row>
    <row r="487" ht="14.25" customHeight="1">
      <c r="A487" s="7"/>
      <c r="B487" s="7"/>
      <c r="C487" s="7"/>
      <c r="D487" s="3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36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</row>
    <row r="488" ht="14.25" customHeight="1">
      <c r="A488" s="7"/>
      <c r="B488" s="7"/>
      <c r="C488" s="7"/>
      <c r="D488" s="3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36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</row>
    <row r="489" ht="14.25" customHeight="1">
      <c r="A489" s="7"/>
      <c r="B489" s="7"/>
      <c r="C489" s="7"/>
      <c r="D489" s="3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36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</row>
    <row r="490" ht="14.25" customHeight="1">
      <c r="A490" s="7"/>
      <c r="B490" s="7"/>
      <c r="C490" s="7"/>
      <c r="D490" s="3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36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</row>
    <row r="491" ht="14.25" customHeight="1">
      <c r="A491" s="7"/>
      <c r="B491" s="7"/>
      <c r="C491" s="7"/>
      <c r="D491" s="3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36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</row>
    <row r="492" ht="14.25" customHeight="1">
      <c r="A492" s="7"/>
      <c r="B492" s="7"/>
      <c r="C492" s="7"/>
      <c r="D492" s="3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36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</row>
    <row r="493" ht="14.25" customHeight="1">
      <c r="A493" s="7"/>
      <c r="B493" s="7"/>
      <c r="C493" s="7"/>
      <c r="D493" s="3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36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</row>
    <row r="494" ht="14.25" customHeight="1">
      <c r="A494" s="7"/>
      <c r="B494" s="7"/>
      <c r="C494" s="7"/>
      <c r="D494" s="3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36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</row>
    <row r="495" ht="14.25" customHeight="1">
      <c r="A495" s="7"/>
      <c r="B495" s="7"/>
      <c r="C495" s="7"/>
      <c r="D495" s="3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36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</row>
    <row r="496" ht="14.25" customHeight="1">
      <c r="A496" s="7"/>
      <c r="B496" s="7"/>
      <c r="C496" s="7"/>
      <c r="D496" s="3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36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</row>
    <row r="497" ht="14.25" customHeight="1">
      <c r="A497" s="7"/>
      <c r="B497" s="7"/>
      <c r="C497" s="7"/>
      <c r="D497" s="3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36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</row>
    <row r="498" ht="14.25" customHeight="1">
      <c r="A498" s="7"/>
      <c r="B498" s="7"/>
      <c r="C498" s="7"/>
      <c r="D498" s="3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36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</row>
    <row r="499" ht="14.25" customHeight="1">
      <c r="A499" s="7"/>
      <c r="B499" s="7"/>
      <c r="C499" s="7"/>
      <c r="D499" s="3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36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</row>
    <row r="500" ht="14.25" customHeight="1">
      <c r="A500" s="7"/>
      <c r="B500" s="7"/>
      <c r="C500" s="7"/>
      <c r="D500" s="3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36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</row>
    <row r="501" ht="14.25" customHeight="1">
      <c r="A501" s="7"/>
      <c r="B501" s="7"/>
      <c r="C501" s="7"/>
      <c r="D501" s="3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36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</row>
    <row r="502" ht="14.25" customHeight="1">
      <c r="A502" s="7"/>
      <c r="B502" s="7"/>
      <c r="C502" s="7"/>
      <c r="D502" s="3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36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</row>
    <row r="503" ht="14.25" customHeight="1">
      <c r="A503" s="7"/>
      <c r="B503" s="7"/>
      <c r="C503" s="7"/>
      <c r="D503" s="3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36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</row>
    <row r="504" ht="14.25" customHeight="1">
      <c r="A504" s="7"/>
      <c r="B504" s="7"/>
      <c r="C504" s="7"/>
      <c r="D504" s="3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36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</row>
    <row r="505" ht="14.25" customHeight="1">
      <c r="A505" s="7"/>
      <c r="B505" s="7"/>
      <c r="C505" s="7"/>
      <c r="D505" s="3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36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</row>
    <row r="506" ht="14.25" customHeight="1">
      <c r="A506" s="7"/>
      <c r="B506" s="7"/>
      <c r="C506" s="7"/>
      <c r="D506" s="3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36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</row>
    <row r="507" ht="14.25" customHeight="1">
      <c r="A507" s="7"/>
      <c r="B507" s="7"/>
      <c r="C507" s="7"/>
      <c r="D507" s="3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36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</row>
    <row r="508" ht="14.25" customHeight="1">
      <c r="A508" s="7"/>
      <c r="B508" s="7"/>
      <c r="C508" s="7"/>
      <c r="D508" s="3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36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</row>
    <row r="509" ht="14.25" customHeight="1">
      <c r="A509" s="7"/>
      <c r="B509" s="7"/>
      <c r="C509" s="7"/>
      <c r="D509" s="3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36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</row>
    <row r="510" ht="14.25" customHeight="1">
      <c r="A510" s="7"/>
      <c r="B510" s="7"/>
      <c r="C510" s="7"/>
      <c r="D510" s="3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36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</row>
    <row r="511" ht="14.25" customHeight="1">
      <c r="A511" s="7"/>
      <c r="B511" s="7"/>
      <c r="C511" s="7"/>
      <c r="D511" s="3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36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</row>
    <row r="512" ht="14.25" customHeight="1">
      <c r="A512" s="7"/>
      <c r="B512" s="7"/>
      <c r="C512" s="7"/>
      <c r="D512" s="3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36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</row>
    <row r="513" ht="14.25" customHeight="1">
      <c r="A513" s="7"/>
      <c r="B513" s="7"/>
      <c r="C513" s="7"/>
      <c r="D513" s="3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36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</row>
    <row r="514" ht="14.25" customHeight="1">
      <c r="A514" s="7"/>
      <c r="B514" s="7"/>
      <c r="C514" s="7"/>
      <c r="D514" s="3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36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</row>
    <row r="515" ht="14.25" customHeight="1">
      <c r="A515" s="7"/>
      <c r="B515" s="7"/>
      <c r="C515" s="7"/>
      <c r="D515" s="3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36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</row>
    <row r="516" ht="14.25" customHeight="1">
      <c r="A516" s="7"/>
      <c r="B516" s="7"/>
      <c r="C516" s="7"/>
      <c r="D516" s="3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36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</row>
    <row r="517" ht="14.25" customHeight="1">
      <c r="A517" s="7"/>
      <c r="B517" s="7"/>
      <c r="C517" s="7"/>
      <c r="D517" s="3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36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</row>
    <row r="518" ht="14.25" customHeight="1">
      <c r="A518" s="7"/>
      <c r="B518" s="7"/>
      <c r="C518" s="7"/>
      <c r="D518" s="3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36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</row>
    <row r="519" ht="14.25" customHeight="1">
      <c r="A519" s="7"/>
      <c r="B519" s="7"/>
      <c r="C519" s="7"/>
      <c r="D519" s="3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36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</row>
    <row r="520" ht="14.25" customHeight="1">
      <c r="A520" s="7"/>
      <c r="B520" s="7"/>
      <c r="C520" s="7"/>
      <c r="D520" s="3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36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</row>
    <row r="521" ht="14.25" customHeight="1">
      <c r="A521" s="7"/>
      <c r="B521" s="7"/>
      <c r="C521" s="7"/>
      <c r="D521" s="3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36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</row>
    <row r="522" ht="14.25" customHeight="1">
      <c r="A522" s="7"/>
      <c r="B522" s="7"/>
      <c r="C522" s="7"/>
      <c r="D522" s="3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36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</row>
    <row r="523" ht="14.25" customHeight="1">
      <c r="A523" s="7"/>
      <c r="B523" s="7"/>
      <c r="C523" s="7"/>
      <c r="D523" s="3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36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</row>
    <row r="524" ht="14.25" customHeight="1">
      <c r="A524" s="7"/>
      <c r="B524" s="7"/>
      <c r="C524" s="7"/>
      <c r="D524" s="3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36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</row>
    <row r="525" ht="14.25" customHeight="1">
      <c r="A525" s="7"/>
      <c r="B525" s="7"/>
      <c r="C525" s="7"/>
      <c r="D525" s="3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36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</row>
    <row r="526" ht="14.25" customHeight="1">
      <c r="A526" s="7"/>
      <c r="B526" s="7"/>
      <c r="C526" s="7"/>
      <c r="D526" s="3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36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</row>
    <row r="527" ht="14.25" customHeight="1">
      <c r="A527" s="7"/>
      <c r="B527" s="7"/>
      <c r="C527" s="7"/>
      <c r="D527" s="3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36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</row>
    <row r="528" ht="14.25" customHeight="1">
      <c r="A528" s="7"/>
      <c r="B528" s="7"/>
      <c r="C528" s="7"/>
      <c r="D528" s="3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36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</row>
    <row r="529" ht="14.25" customHeight="1">
      <c r="A529" s="7"/>
      <c r="B529" s="7"/>
      <c r="C529" s="7"/>
      <c r="D529" s="3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36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</row>
    <row r="530" ht="14.25" customHeight="1">
      <c r="A530" s="7"/>
      <c r="B530" s="7"/>
      <c r="C530" s="7"/>
      <c r="D530" s="3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36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</row>
    <row r="531" ht="14.25" customHeight="1">
      <c r="A531" s="7"/>
      <c r="B531" s="7"/>
      <c r="C531" s="7"/>
      <c r="D531" s="3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36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</row>
    <row r="532" ht="14.25" customHeight="1">
      <c r="A532" s="7"/>
      <c r="B532" s="7"/>
      <c r="C532" s="7"/>
      <c r="D532" s="3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36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</row>
    <row r="533" ht="14.25" customHeight="1">
      <c r="A533" s="7"/>
      <c r="B533" s="7"/>
      <c r="C533" s="7"/>
      <c r="D533" s="3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36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</row>
    <row r="534" ht="14.25" customHeight="1">
      <c r="A534" s="7"/>
      <c r="B534" s="7"/>
      <c r="C534" s="7"/>
      <c r="D534" s="3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36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</row>
    <row r="535" ht="14.25" customHeight="1">
      <c r="A535" s="7"/>
      <c r="B535" s="7"/>
      <c r="C535" s="7"/>
      <c r="D535" s="3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36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</row>
    <row r="536" ht="14.25" customHeight="1">
      <c r="A536" s="7"/>
      <c r="B536" s="7"/>
      <c r="C536" s="7"/>
      <c r="D536" s="3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36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</row>
    <row r="537" ht="14.25" customHeight="1">
      <c r="A537" s="7"/>
      <c r="B537" s="7"/>
      <c r="C537" s="7"/>
      <c r="D537" s="3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36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</row>
    <row r="538" ht="14.25" customHeight="1">
      <c r="A538" s="7"/>
      <c r="B538" s="7"/>
      <c r="C538" s="7"/>
      <c r="D538" s="3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36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</row>
    <row r="539" ht="14.25" customHeight="1">
      <c r="A539" s="7"/>
      <c r="B539" s="7"/>
      <c r="C539" s="7"/>
      <c r="D539" s="3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36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</row>
    <row r="540" ht="14.25" customHeight="1">
      <c r="A540" s="7"/>
      <c r="B540" s="7"/>
      <c r="C540" s="7"/>
      <c r="D540" s="3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36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</row>
    <row r="541" ht="14.25" customHeight="1">
      <c r="A541" s="7"/>
      <c r="B541" s="7"/>
      <c r="C541" s="7"/>
      <c r="D541" s="3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36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</row>
    <row r="542" ht="14.25" customHeight="1">
      <c r="A542" s="7"/>
      <c r="B542" s="7"/>
      <c r="C542" s="7"/>
      <c r="D542" s="3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36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</row>
    <row r="543" ht="14.25" customHeight="1">
      <c r="A543" s="7"/>
      <c r="B543" s="7"/>
      <c r="C543" s="7"/>
      <c r="D543" s="3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36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</row>
    <row r="544" ht="14.25" customHeight="1">
      <c r="A544" s="7"/>
      <c r="B544" s="7"/>
      <c r="C544" s="7"/>
      <c r="D544" s="3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36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</row>
    <row r="545" ht="14.25" customHeight="1">
      <c r="A545" s="7"/>
      <c r="B545" s="7"/>
      <c r="C545" s="7"/>
      <c r="D545" s="3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36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</row>
    <row r="546" ht="14.25" customHeight="1">
      <c r="A546" s="7"/>
      <c r="B546" s="7"/>
      <c r="C546" s="7"/>
      <c r="D546" s="3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36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</row>
    <row r="547" ht="14.25" customHeight="1">
      <c r="A547" s="7"/>
      <c r="B547" s="7"/>
      <c r="C547" s="7"/>
      <c r="D547" s="3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36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</row>
    <row r="548" ht="14.25" customHeight="1">
      <c r="A548" s="7"/>
      <c r="B548" s="7"/>
      <c r="C548" s="7"/>
      <c r="D548" s="3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36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</row>
    <row r="549" ht="14.25" customHeight="1">
      <c r="A549" s="7"/>
      <c r="B549" s="7"/>
      <c r="C549" s="7"/>
      <c r="D549" s="3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36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</row>
    <row r="550" ht="14.25" customHeight="1">
      <c r="A550" s="7"/>
      <c r="B550" s="7"/>
      <c r="C550" s="7"/>
      <c r="D550" s="3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36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</row>
    <row r="551" ht="14.25" customHeight="1">
      <c r="A551" s="7"/>
      <c r="B551" s="7"/>
      <c r="C551" s="7"/>
      <c r="D551" s="3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36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</row>
    <row r="552" ht="14.25" customHeight="1">
      <c r="A552" s="7"/>
      <c r="B552" s="7"/>
      <c r="C552" s="7"/>
      <c r="D552" s="3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36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</row>
    <row r="553" ht="14.25" customHeight="1">
      <c r="A553" s="7"/>
      <c r="B553" s="7"/>
      <c r="C553" s="7"/>
      <c r="D553" s="3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36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</row>
    <row r="554" ht="14.25" customHeight="1">
      <c r="A554" s="7"/>
      <c r="B554" s="7"/>
      <c r="C554" s="7"/>
      <c r="D554" s="3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36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</row>
    <row r="555" ht="14.25" customHeight="1">
      <c r="A555" s="7"/>
      <c r="B555" s="7"/>
      <c r="C555" s="7"/>
      <c r="D555" s="3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36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</row>
    <row r="556" ht="14.25" customHeight="1">
      <c r="A556" s="7"/>
      <c r="B556" s="7"/>
      <c r="C556" s="7"/>
      <c r="D556" s="3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36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</row>
    <row r="557" ht="14.25" customHeight="1">
      <c r="A557" s="7"/>
      <c r="B557" s="7"/>
      <c r="C557" s="7"/>
      <c r="D557" s="3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36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</row>
    <row r="558" ht="14.25" customHeight="1">
      <c r="A558" s="7"/>
      <c r="B558" s="7"/>
      <c r="C558" s="7"/>
      <c r="D558" s="3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36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</row>
    <row r="559" ht="14.25" customHeight="1">
      <c r="A559" s="7"/>
      <c r="B559" s="7"/>
      <c r="C559" s="7"/>
      <c r="D559" s="3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36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</row>
    <row r="560" ht="14.25" customHeight="1">
      <c r="A560" s="7"/>
      <c r="B560" s="7"/>
      <c r="C560" s="7"/>
      <c r="D560" s="3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36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</row>
    <row r="561" ht="14.25" customHeight="1">
      <c r="A561" s="7"/>
      <c r="B561" s="7"/>
      <c r="C561" s="7"/>
      <c r="D561" s="3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36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</row>
    <row r="562" ht="14.25" customHeight="1">
      <c r="A562" s="7"/>
      <c r="B562" s="7"/>
      <c r="C562" s="7"/>
      <c r="D562" s="3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36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</row>
    <row r="563" ht="14.25" customHeight="1">
      <c r="A563" s="7"/>
      <c r="B563" s="7"/>
      <c r="C563" s="7"/>
      <c r="D563" s="3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36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</row>
    <row r="564" ht="14.25" customHeight="1">
      <c r="A564" s="7"/>
      <c r="B564" s="7"/>
      <c r="C564" s="7"/>
      <c r="D564" s="3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36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</row>
    <row r="565" ht="14.25" customHeight="1">
      <c r="A565" s="7"/>
      <c r="B565" s="7"/>
      <c r="C565" s="7"/>
      <c r="D565" s="3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36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</row>
    <row r="566" ht="14.25" customHeight="1">
      <c r="A566" s="7"/>
      <c r="B566" s="7"/>
      <c r="C566" s="7"/>
      <c r="D566" s="3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36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</row>
    <row r="567" ht="14.25" customHeight="1">
      <c r="A567" s="7"/>
      <c r="B567" s="7"/>
      <c r="C567" s="7"/>
      <c r="D567" s="3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36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</row>
    <row r="568" ht="14.25" customHeight="1">
      <c r="A568" s="7"/>
      <c r="B568" s="7"/>
      <c r="C568" s="7"/>
      <c r="D568" s="3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36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</row>
    <row r="569" ht="14.25" customHeight="1">
      <c r="A569" s="7"/>
      <c r="B569" s="7"/>
      <c r="C569" s="7"/>
      <c r="D569" s="3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36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</row>
    <row r="570" ht="14.25" customHeight="1">
      <c r="A570" s="7"/>
      <c r="B570" s="7"/>
      <c r="C570" s="7"/>
      <c r="D570" s="3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36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</row>
    <row r="571" ht="14.25" customHeight="1">
      <c r="A571" s="7"/>
      <c r="B571" s="7"/>
      <c r="C571" s="7"/>
      <c r="D571" s="3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36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</row>
    <row r="572" ht="14.25" customHeight="1">
      <c r="A572" s="7"/>
      <c r="B572" s="7"/>
      <c r="C572" s="7"/>
      <c r="D572" s="3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36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</row>
    <row r="573" ht="14.25" customHeight="1">
      <c r="A573" s="7"/>
      <c r="B573" s="7"/>
      <c r="C573" s="7"/>
      <c r="D573" s="3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36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</row>
    <row r="574" ht="14.25" customHeight="1">
      <c r="A574" s="7"/>
      <c r="B574" s="7"/>
      <c r="C574" s="7"/>
      <c r="D574" s="3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36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</row>
    <row r="575" ht="14.25" customHeight="1">
      <c r="A575" s="7"/>
      <c r="B575" s="7"/>
      <c r="C575" s="7"/>
      <c r="D575" s="3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36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</row>
    <row r="576" ht="14.25" customHeight="1">
      <c r="A576" s="7"/>
      <c r="B576" s="7"/>
      <c r="C576" s="7"/>
      <c r="D576" s="3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36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</row>
    <row r="577" ht="14.25" customHeight="1">
      <c r="A577" s="7"/>
      <c r="B577" s="7"/>
      <c r="C577" s="7"/>
      <c r="D577" s="3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36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</row>
    <row r="578" ht="14.25" customHeight="1">
      <c r="A578" s="7"/>
      <c r="B578" s="7"/>
      <c r="C578" s="7"/>
      <c r="D578" s="3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36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</row>
    <row r="579" ht="14.25" customHeight="1">
      <c r="A579" s="7"/>
      <c r="B579" s="7"/>
      <c r="C579" s="7"/>
      <c r="D579" s="3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36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</row>
    <row r="580" ht="14.25" customHeight="1">
      <c r="A580" s="7"/>
      <c r="B580" s="7"/>
      <c r="C580" s="7"/>
      <c r="D580" s="3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36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</row>
    <row r="581" ht="14.25" customHeight="1">
      <c r="A581" s="7"/>
      <c r="B581" s="7"/>
      <c r="C581" s="7"/>
      <c r="D581" s="3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36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</row>
    <row r="582" ht="14.25" customHeight="1">
      <c r="A582" s="7"/>
      <c r="B582" s="7"/>
      <c r="C582" s="7"/>
      <c r="D582" s="3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36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</row>
    <row r="583" ht="14.25" customHeight="1">
      <c r="A583" s="7"/>
      <c r="B583" s="7"/>
      <c r="C583" s="7"/>
      <c r="D583" s="3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36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</row>
    <row r="584" ht="14.25" customHeight="1">
      <c r="A584" s="7"/>
      <c r="B584" s="7"/>
      <c r="C584" s="7"/>
      <c r="D584" s="3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36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</row>
    <row r="585" ht="14.25" customHeight="1">
      <c r="A585" s="7"/>
      <c r="B585" s="7"/>
      <c r="C585" s="7"/>
      <c r="D585" s="3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36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</row>
    <row r="586" ht="14.25" customHeight="1">
      <c r="A586" s="7"/>
      <c r="B586" s="7"/>
      <c r="C586" s="7"/>
      <c r="D586" s="3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36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</row>
    <row r="587" ht="14.25" customHeight="1">
      <c r="A587" s="7"/>
      <c r="B587" s="7"/>
      <c r="C587" s="7"/>
      <c r="D587" s="3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36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</row>
    <row r="588" ht="14.25" customHeight="1">
      <c r="A588" s="7"/>
      <c r="B588" s="7"/>
      <c r="C588" s="7"/>
      <c r="D588" s="3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36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</row>
    <row r="589" ht="14.25" customHeight="1">
      <c r="A589" s="7"/>
      <c r="B589" s="7"/>
      <c r="C589" s="7"/>
      <c r="D589" s="3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36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</row>
    <row r="590" ht="14.25" customHeight="1">
      <c r="A590" s="7"/>
      <c r="B590" s="7"/>
      <c r="C590" s="7"/>
      <c r="D590" s="3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36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</row>
    <row r="591" ht="14.25" customHeight="1">
      <c r="A591" s="7"/>
      <c r="B591" s="7"/>
      <c r="C591" s="7"/>
      <c r="D591" s="3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36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</row>
    <row r="592" ht="14.25" customHeight="1">
      <c r="A592" s="7"/>
      <c r="B592" s="7"/>
      <c r="C592" s="7"/>
      <c r="D592" s="3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36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</row>
    <row r="593" ht="14.25" customHeight="1">
      <c r="A593" s="7"/>
      <c r="B593" s="7"/>
      <c r="C593" s="7"/>
      <c r="D593" s="3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36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</row>
    <row r="594" ht="14.25" customHeight="1">
      <c r="A594" s="7"/>
      <c r="B594" s="7"/>
      <c r="C594" s="7"/>
      <c r="D594" s="3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36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</row>
    <row r="595" ht="14.25" customHeight="1">
      <c r="A595" s="7"/>
      <c r="B595" s="7"/>
      <c r="C595" s="7"/>
      <c r="D595" s="3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36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</row>
    <row r="596" ht="14.25" customHeight="1">
      <c r="A596" s="7"/>
      <c r="B596" s="7"/>
      <c r="C596" s="7"/>
      <c r="D596" s="3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36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</row>
    <row r="597" ht="14.25" customHeight="1">
      <c r="A597" s="7"/>
      <c r="B597" s="7"/>
      <c r="C597" s="7"/>
      <c r="D597" s="3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36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</row>
    <row r="598" ht="14.25" customHeight="1">
      <c r="A598" s="7"/>
      <c r="B598" s="7"/>
      <c r="C598" s="7"/>
      <c r="D598" s="3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36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</row>
    <row r="599" ht="14.25" customHeight="1">
      <c r="A599" s="7"/>
      <c r="B599" s="7"/>
      <c r="C599" s="7"/>
      <c r="D599" s="3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36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</row>
    <row r="600" ht="14.25" customHeight="1">
      <c r="A600" s="7"/>
      <c r="B600" s="7"/>
      <c r="C600" s="7"/>
      <c r="D600" s="3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36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</row>
    <row r="601" ht="14.25" customHeight="1">
      <c r="A601" s="7"/>
      <c r="B601" s="7"/>
      <c r="C601" s="7"/>
      <c r="D601" s="3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36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</row>
    <row r="602" ht="14.25" customHeight="1">
      <c r="A602" s="7"/>
      <c r="B602" s="7"/>
      <c r="C602" s="7"/>
      <c r="D602" s="3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36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</row>
    <row r="603" ht="14.25" customHeight="1">
      <c r="A603" s="7"/>
      <c r="B603" s="7"/>
      <c r="C603" s="7"/>
      <c r="D603" s="3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36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</row>
    <row r="604" ht="14.25" customHeight="1">
      <c r="A604" s="7"/>
      <c r="B604" s="7"/>
      <c r="C604" s="7"/>
      <c r="D604" s="3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36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</row>
    <row r="605" ht="14.25" customHeight="1">
      <c r="A605" s="7"/>
      <c r="B605" s="7"/>
      <c r="C605" s="7"/>
      <c r="D605" s="3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36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</row>
    <row r="606" ht="14.25" customHeight="1">
      <c r="A606" s="7"/>
      <c r="B606" s="7"/>
      <c r="C606" s="7"/>
      <c r="D606" s="3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36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</row>
    <row r="607" ht="14.25" customHeight="1">
      <c r="A607" s="7"/>
      <c r="B607" s="7"/>
      <c r="C607" s="7"/>
      <c r="D607" s="3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36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</row>
    <row r="608" ht="14.25" customHeight="1">
      <c r="A608" s="7"/>
      <c r="B608" s="7"/>
      <c r="C608" s="7"/>
      <c r="D608" s="3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36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</row>
    <row r="609" ht="14.25" customHeight="1">
      <c r="A609" s="7"/>
      <c r="B609" s="7"/>
      <c r="C609" s="7"/>
      <c r="D609" s="3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36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</row>
    <row r="610" ht="14.25" customHeight="1">
      <c r="A610" s="7"/>
      <c r="B610" s="7"/>
      <c r="C610" s="7"/>
      <c r="D610" s="3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36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</row>
    <row r="611" ht="14.25" customHeight="1">
      <c r="A611" s="7"/>
      <c r="B611" s="7"/>
      <c r="C611" s="7"/>
      <c r="D611" s="3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36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</row>
    <row r="612" ht="14.25" customHeight="1">
      <c r="A612" s="7"/>
      <c r="B612" s="7"/>
      <c r="C612" s="7"/>
      <c r="D612" s="3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36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</row>
    <row r="613" ht="14.25" customHeight="1">
      <c r="A613" s="7"/>
      <c r="B613" s="7"/>
      <c r="C613" s="7"/>
      <c r="D613" s="3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36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</row>
    <row r="614" ht="14.25" customHeight="1">
      <c r="A614" s="7"/>
      <c r="B614" s="7"/>
      <c r="C614" s="7"/>
      <c r="D614" s="3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36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</row>
    <row r="615" ht="14.25" customHeight="1">
      <c r="A615" s="7"/>
      <c r="B615" s="7"/>
      <c r="C615" s="7"/>
      <c r="D615" s="3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36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</row>
    <row r="616" ht="14.25" customHeight="1">
      <c r="A616" s="7"/>
      <c r="B616" s="7"/>
      <c r="C616" s="7"/>
      <c r="D616" s="3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36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</row>
    <row r="617" ht="14.25" customHeight="1">
      <c r="A617" s="7"/>
      <c r="B617" s="7"/>
      <c r="C617" s="7"/>
      <c r="D617" s="3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36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</row>
    <row r="618" ht="14.25" customHeight="1">
      <c r="A618" s="7"/>
      <c r="B618" s="7"/>
      <c r="C618" s="7"/>
      <c r="D618" s="3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36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</row>
    <row r="619" ht="14.25" customHeight="1">
      <c r="A619" s="7"/>
      <c r="B619" s="7"/>
      <c r="C619" s="7"/>
      <c r="D619" s="3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36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</row>
    <row r="620" ht="14.25" customHeight="1">
      <c r="A620" s="7"/>
      <c r="B620" s="7"/>
      <c r="C620" s="7"/>
      <c r="D620" s="3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36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</row>
    <row r="621" ht="14.25" customHeight="1">
      <c r="A621" s="7"/>
      <c r="B621" s="7"/>
      <c r="C621" s="7"/>
      <c r="D621" s="3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36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</row>
    <row r="622" ht="14.25" customHeight="1">
      <c r="A622" s="7"/>
      <c r="B622" s="7"/>
      <c r="C622" s="7"/>
      <c r="D622" s="3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36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</row>
    <row r="623" ht="14.25" customHeight="1">
      <c r="A623" s="7"/>
      <c r="B623" s="7"/>
      <c r="C623" s="7"/>
      <c r="D623" s="3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36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</row>
    <row r="624" ht="14.25" customHeight="1">
      <c r="A624" s="7"/>
      <c r="B624" s="7"/>
      <c r="C624" s="7"/>
      <c r="D624" s="3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36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</row>
    <row r="625" ht="14.25" customHeight="1">
      <c r="A625" s="7"/>
      <c r="B625" s="7"/>
      <c r="C625" s="7"/>
      <c r="D625" s="3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36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</row>
    <row r="626" ht="14.25" customHeight="1">
      <c r="A626" s="7"/>
      <c r="B626" s="7"/>
      <c r="C626" s="7"/>
      <c r="D626" s="3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36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</row>
    <row r="627" ht="14.25" customHeight="1">
      <c r="A627" s="7"/>
      <c r="B627" s="7"/>
      <c r="C627" s="7"/>
      <c r="D627" s="3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36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</row>
    <row r="628" ht="14.25" customHeight="1">
      <c r="A628" s="7"/>
      <c r="B628" s="7"/>
      <c r="C628" s="7"/>
      <c r="D628" s="3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36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</row>
    <row r="629" ht="14.25" customHeight="1">
      <c r="A629" s="7"/>
      <c r="B629" s="7"/>
      <c r="C629" s="7"/>
      <c r="D629" s="3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36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</row>
    <row r="630" ht="14.25" customHeight="1">
      <c r="A630" s="7"/>
      <c r="B630" s="7"/>
      <c r="C630" s="7"/>
      <c r="D630" s="3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36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</row>
    <row r="631" ht="14.25" customHeight="1">
      <c r="A631" s="7"/>
      <c r="B631" s="7"/>
      <c r="C631" s="7"/>
      <c r="D631" s="3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36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</row>
    <row r="632" ht="14.25" customHeight="1">
      <c r="A632" s="7"/>
      <c r="B632" s="7"/>
      <c r="C632" s="7"/>
      <c r="D632" s="3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36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</row>
    <row r="633" ht="14.25" customHeight="1">
      <c r="A633" s="7"/>
      <c r="B633" s="7"/>
      <c r="C633" s="7"/>
      <c r="D633" s="3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36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</row>
    <row r="634" ht="14.25" customHeight="1">
      <c r="A634" s="7"/>
      <c r="B634" s="7"/>
      <c r="C634" s="7"/>
      <c r="D634" s="3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36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</row>
    <row r="635" ht="14.25" customHeight="1">
      <c r="A635" s="7"/>
      <c r="B635" s="7"/>
      <c r="C635" s="7"/>
      <c r="D635" s="3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36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</row>
    <row r="636" ht="14.25" customHeight="1">
      <c r="A636" s="7"/>
      <c r="B636" s="7"/>
      <c r="C636" s="7"/>
      <c r="D636" s="3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36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</row>
    <row r="637" ht="14.25" customHeight="1">
      <c r="A637" s="7"/>
      <c r="B637" s="7"/>
      <c r="C637" s="7"/>
      <c r="D637" s="3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36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</row>
    <row r="638" ht="14.25" customHeight="1">
      <c r="A638" s="7"/>
      <c r="B638" s="7"/>
      <c r="C638" s="7"/>
      <c r="D638" s="3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36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</row>
    <row r="639" ht="14.25" customHeight="1">
      <c r="A639" s="7"/>
      <c r="B639" s="7"/>
      <c r="C639" s="7"/>
      <c r="D639" s="3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36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</row>
    <row r="640" ht="14.25" customHeight="1">
      <c r="A640" s="7"/>
      <c r="B640" s="7"/>
      <c r="C640" s="7"/>
      <c r="D640" s="3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36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</row>
    <row r="641" ht="14.25" customHeight="1">
      <c r="A641" s="7"/>
      <c r="B641" s="7"/>
      <c r="C641" s="7"/>
      <c r="D641" s="3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36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</row>
    <row r="642" ht="14.25" customHeight="1">
      <c r="A642" s="7"/>
      <c r="B642" s="7"/>
      <c r="C642" s="7"/>
      <c r="D642" s="3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36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</row>
    <row r="643" ht="14.25" customHeight="1">
      <c r="A643" s="7"/>
      <c r="B643" s="7"/>
      <c r="C643" s="7"/>
      <c r="D643" s="3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36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</row>
    <row r="644" ht="14.25" customHeight="1">
      <c r="A644" s="7"/>
      <c r="B644" s="7"/>
      <c r="C644" s="7"/>
      <c r="D644" s="3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36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</row>
    <row r="645" ht="14.25" customHeight="1">
      <c r="A645" s="7"/>
      <c r="B645" s="7"/>
      <c r="C645" s="7"/>
      <c r="D645" s="3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36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</row>
    <row r="646" ht="14.25" customHeight="1">
      <c r="A646" s="7"/>
      <c r="B646" s="7"/>
      <c r="C646" s="7"/>
      <c r="D646" s="3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36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</row>
    <row r="647" ht="14.25" customHeight="1">
      <c r="A647" s="7"/>
      <c r="B647" s="7"/>
      <c r="C647" s="7"/>
      <c r="D647" s="3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36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</row>
    <row r="648" ht="14.25" customHeight="1">
      <c r="A648" s="7"/>
      <c r="B648" s="7"/>
      <c r="C648" s="7"/>
      <c r="D648" s="3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36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</row>
    <row r="649" ht="14.25" customHeight="1">
      <c r="A649" s="7"/>
      <c r="B649" s="7"/>
      <c r="C649" s="7"/>
      <c r="D649" s="3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36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</row>
    <row r="650" ht="14.25" customHeight="1">
      <c r="A650" s="7"/>
      <c r="B650" s="7"/>
      <c r="C650" s="7"/>
      <c r="D650" s="3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36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</row>
    <row r="651" ht="14.25" customHeight="1">
      <c r="A651" s="7"/>
      <c r="B651" s="7"/>
      <c r="C651" s="7"/>
      <c r="D651" s="3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36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</row>
    <row r="652" ht="14.25" customHeight="1">
      <c r="A652" s="7"/>
      <c r="B652" s="7"/>
      <c r="C652" s="7"/>
      <c r="D652" s="3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36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</row>
    <row r="653" ht="14.25" customHeight="1">
      <c r="A653" s="7"/>
      <c r="B653" s="7"/>
      <c r="C653" s="7"/>
      <c r="D653" s="3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36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</row>
    <row r="654" ht="14.25" customHeight="1">
      <c r="A654" s="7"/>
      <c r="B654" s="7"/>
      <c r="C654" s="7"/>
      <c r="D654" s="3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36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</row>
    <row r="655" ht="14.25" customHeight="1">
      <c r="A655" s="7"/>
      <c r="B655" s="7"/>
      <c r="C655" s="7"/>
      <c r="D655" s="3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36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</row>
    <row r="656" ht="14.25" customHeight="1">
      <c r="A656" s="7"/>
      <c r="B656" s="7"/>
      <c r="C656" s="7"/>
      <c r="D656" s="3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36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</row>
    <row r="657" ht="14.25" customHeight="1">
      <c r="A657" s="7"/>
      <c r="B657" s="7"/>
      <c r="C657" s="7"/>
      <c r="D657" s="3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36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</row>
    <row r="658" ht="14.25" customHeight="1">
      <c r="A658" s="7"/>
      <c r="B658" s="7"/>
      <c r="C658" s="7"/>
      <c r="D658" s="3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36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</row>
    <row r="659" ht="14.25" customHeight="1">
      <c r="A659" s="7"/>
      <c r="B659" s="7"/>
      <c r="C659" s="7"/>
      <c r="D659" s="3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36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</row>
    <row r="660" ht="14.25" customHeight="1">
      <c r="A660" s="7"/>
      <c r="B660" s="7"/>
      <c r="C660" s="7"/>
      <c r="D660" s="3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36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</row>
    <row r="661" ht="14.25" customHeight="1">
      <c r="A661" s="7"/>
      <c r="B661" s="7"/>
      <c r="C661" s="7"/>
      <c r="D661" s="3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36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</row>
    <row r="662" ht="14.25" customHeight="1">
      <c r="A662" s="7"/>
      <c r="B662" s="7"/>
      <c r="C662" s="7"/>
      <c r="D662" s="3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36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</row>
    <row r="663" ht="14.25" customHeight="1">
      <c r="A663" s="7"/>
      <c r="B663" s="7"/>
      <c r="C663" s="7"/>
      <c r="D663" s="3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36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</row>
    <row r="664" ht="14.25" customHeight="1">
      <c r="A664" s="7"/>
      <c r="B664" s="7"/>
      <c r="C664" s="7"/>
      <c r="D664" s="3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36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</row>
    <row r="665" ht="14.25" customHeight="1">
      <c r="A665" s="7"/>
      <c r="B665" s="7"/>
      <c r="C665" s="7"/>
      <c r="D665" s="3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36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</row>
    <row r="666" ht="14.25" customHeight="1">
      <c r="A666" s="7"/>
      <c r="B666" s="7"/>
      <c r="C666" s="7"/>
      <c r="D666" s="3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36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</row>
    <row r="667" ht="14.25" customHeight="1">
      <c r="A667" s="7"/>
      <c r="B667" s="7"/>
      <c r="C667" s="7"/>
      <c r="D667" s="3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36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</row>
    <row r="668" ht="14.25" customHeight="1">
      <c r="A668" s="7"/>
      <c r="B668" s="7"/>
      <c r="C668" s="7"/>
      <c r="D668" s="3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36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</row>
    <row r="669" ht="14.25" customHeight="1">
      <c r="A669" s="7"/>
      <c r="B669" s="7"/>
      <c r="C669" s="7"/>
      <c r="D669" s="3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36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</row>
    <row r="670" ht="14.25" customHeight="1">
      <c r="A670" s="7"/>
      <c r="B670" s="7"/>
      <c r="C670" s="7"/>
      <c r="D670" s="3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36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</row>
    <row r="671" ht="14.25" customHeight="1">
      <c r="A671" s="7"/>
      <c r="B671" s="7"/>
      <c r="C671" s="7"/>
      <c r="D671" s="3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36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</row>
    <row r="672" ht="14.25" customHeight="1">
      <c r="A672" s="7"/>
      <c r="B672" s="7"/>
      <c r="C672" s="7"/>
      <c r="D672" s="3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36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</row>
    <row r="673" ht="14.25" customHeight="1">
      <c r="A673" s="7"/>
      <c r="B673" s="7"/>
      <c r="C673" s="7"/>
      <c r="D673" s="3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36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</row>
    <row r="674" ht="14.25" customHeight="1">
      <c r="A674" s="7"/>
      <c r="B674" s="7"/>
      <c r="C674" s="7"/>
      <c r="D674" s="3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36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</row>
    <row r="675" ht="14.25" customHeight="1">
      <c r="A675" s="7"/>
      <c r="B675" s="7"/>
      <c r="C675" s="7"/>
      <c r="D675" s="3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36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</row>
    <row r="676" ht="14.25" customHeight="1">
      <c r="A676" s="7"/>
      <c r="B676" s="7"/>
      <c r="C676" s="7"/>
      <c r="D676" s="3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36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</row>
    <row r="677" ht="14.25" customHeight="1">
      <c r="A677" s="7"/>
      <c r="B677" s="7"/>
      <c r="C677" s="7"/>
      <c r="D677" s="3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36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</row>
    <row r="678" ht="14.25" customHeight="1">
      <c r="A678" s="7"/>
      <c r="B678" s="7"/>
      <c r="C678" s="7"/>
      <c r="D678" s="3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36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</row>
    <row r="679" ht="14.25" customHeight="1">
      <c r="A679" s="7"/>
      <c r="B679" s="7"/>
      <c r="C679" s="7"/>
      <c r="D679" s="3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36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</row>
    <row r="680" ht="14.25" customHeight="1">
      <c r="A680" s="7"/>
      <c r="B680" s="7"/>
      <c r="C680" s="7"/>
      <c r="D680" s="3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36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</row>
    <row r="681" ht="14.25" customHeight="1">
      <c r="A681" s="7"/>
      <c r="B681" s="7"/>
      <c r="C681" s="7"/>
      <c r="D681" s="3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36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</row>
    <row r="682" ht="14.25" customHeight="1">
      <c r="A682" s="7"/>
      <c r="B682" s="7"/>
      <c r="C682" s="7"/>
      <c r="D682" s="3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36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</row>
    <row r="683" ht="14.25" customHeight="1">
      <c r="A683" s="7"/>
      <c r="B683" s="7"/>
      <c r="C683" s="7"/>
      <c r="D683" s="3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36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</row>
    <row r="684" ht="14.25" customHeight="1">
      <c r="A684" s="7"/>
      <c r="B684" s="7"/>
      <c r="C684" s="7"/>
      <c r="D684" s="3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36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</row>
    <row r="685" ht="14.25" customHeight="1">
      <c r="A685" s="7"/>
      <c r="B685" s="7"/>
      <c r="C685" s="7"/>
      <c r="D685" s="3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36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</row>
    <row r="686" ht="14.25" customHeight="1">
      <c r="A686" s="7"/>
      <c r="B686" s="7"/>
      <c r="C686" s="7"/>
      <c r="D686" s="3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36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</row>
    <row r="687" ht="14.25" customHeight="1">
      <c r="A687" s="7"/>
      <c r="B687" s="7"/>
      <c r="C687" s="7"/>
      <c r="D687" s="3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36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</row>
    <row r="688" ht="14.25" customHeight="1">
      <c r="A688" s="7"/>
      <c r="B688" s="7"/>
      <c r="C688" s="7"/>
      <c r="D688" s="3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36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</row>
    <row r="689" ht="14.25" customHeight="1">
      <c r="A689" s="7"/>
      <c r="B689" s="7"/>
      <c r="C689" s="7"/>
      <c r="D689" s="3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36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</row>
    <row r="690" ht="14.25" customHeight="1">
      <c r="A690" s="7"/>
      <c r="B690" s="7"/>
      <c r="C690" s="7"/>
      <c r="D690" s="3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36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</row>
    <row r="691" ht="14.25" customHeight="1">
      <c r="A691" s="7"/>
      <c r="B691" s="7"/>
      <c r="C691" s="7"/>
      <c r="D691" s="3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36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</row>
    <row r="692" ht="14.25" customHeight="1">
      <c r="A692" s="7"/>
      <c r="B692" s="7"/>
      <c r="C692" s="7"/>
      <c r="D692" s="3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36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</row>
    <row r="693" ht="14.25" customHeight="1">
      <c r="A693" s="7"/>
      <c r="B693" s="7"/>
      <c r="C693" s="7"/>
      <c r="D693" s="3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36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</row>
    <row r="694" ht="14.25" customHeight="1">
      <c r="A694" s="7"/>
      <c r="B694" s="7"/>
      <c r="C694" s="7"/>
      <c r="D694" s="3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36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</row>
    <row r="695" ht="14.25" customHeight="1">
      <c r="A695" s="7"/>
      <c r="B695" s="7"/>
      <c r="C695" s="7"/>
      <c r="D695" s="3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36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</row>
    <row r="696" ht="14.25" customHeight="1">
      <c r="A696" s="7"/>
      <c r="B696" s="7"/>
      <c r="C696" s="7"/>
      <c r="D696" s="3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36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</row>
    <row r="697" ht="14.25" customHeight="1">
      <c r="A697" s="7"/>
      <c r="B697" s="7"/>
      <c r="C697" s="7"/>
      <c r="D697" s="3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36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</row>
    <row r="698" ht="14.25" customHeight="1">
      <c r="A698" s="7"/>
      <c r="B698" s="7"/>
      <c r="C698" s="7"/>
      <c r="D698" s="3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36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</row>
    <row r="699" ht="14.25" customHeight="1">
      <c r="A699" s="7"/>
      <c r="B699" s="7"/>
      <c r="C699" s="7"/>
      <c r="D699" s="3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36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</row>
    <row r="700" ht="14.25" customHeight="1">
      <c r="A700" s="7"/>
      <c r="B700" s="7"/>
      <c r="C700" s="7"/>
      <c r="D700" s="3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36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</row>
    <row r="701" ht="14.25" customHeight="1">
      <c r="A701" s="7"/>
      <c r="B701" s="7"/>
      <c r="C701" s="7"/>
      <c r="D701" s="3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36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</row>
    <row r="702" ht="14.25" customHeight="1">
      <c r="A702" s="7"/>
      <c r="B702" s="7"/>
      <c r="C702" s="7"/>
      <c r="D702" s="3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36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</row>
    <row r="703" ht="14.25" customHeight="1">
      <c r="A703" s="7"/>
      <c r="B703" s="7"/>
      <c r="C703" s="7"/>
      <c r="D703" s="3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36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</row>
    <row r="704" ht="14.25" customHeight="1">
      <c r="A704" s="7"/>
      <c r="B704" s="7"/>
      <c r="C704" s="7"/>
      <c r="D704" s="3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36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</row>
    <row r="705" ht="14.25" customHeight="1">
      <c r="A705" s="7"/>
      <c r="B705" s="7"/>
      <c r="C705" s="7"/>
      <c r="D705" s="3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36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</row>
    <row r="706" ht="14.25" customHeight="1">
      <c r="A706" s="7"/>
      <c r="B706" s="7"/>
      <c r="C706" s="7"/>
      <c r="D706" s="3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36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</row>
    <row r="707" ht="14.25" customHeight="1">
      <c r="A707" s="7"/>
      <c r="B707" s="7"/>
      <c r="C707" s="7"/>
      <c r="D707" s="3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36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</row>
    <row r="708" ht="14.25" customHeight="1">
      <c r="A708" s="7"/>
      <c r="B708" s="7"/>
      <c r="C708" s="7"/>
      <c r="D708" s="3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36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</row>
    <row r="709" ht="14.25" customHeight="1">
      <c r="A709" s="7"/>
      <c r="B709" s="7"/>
      <c r="C709" s="7"/>
      <c r="D709" s="3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36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</row>
    <row r="710" ht="14.25" customHeight="1">
      <c r="A710" s="7"/>
      <c r="B710" s="7"/>
      <c r="C710" s="7"/>
      <c r="D710" s="3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36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</row>
    <row r="711" ht="14.25" customHeight="1">
      <c r="A711" s="7"/>
      <c r="B711" s="7"/>
      <c r="C711" s="7"/>
      <c r="D711" s="3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36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</row>
    <row r="712" ht="14.25" customHeight="1">
      <c r="A712" s="7"/>
      <c r="B712" s="7"/>
      <c r="C712" s="7"/>
      <c r="D712" s="3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36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</row>
    <row r="713" ht="14.25" customHeight="1">
      <c r="A713" s="7"/>
      <c r="B713" s="7"/>
      <c r="C713" s="7"/>
      <c r="D713" s="3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36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</row>
    <row r="714" ht="14.25" customHeight="1">
      <c r="A714" s="7"/>
      <c r="B714" s="7"/>
      <c r="C714" s="7"/>
      <c r="D714" s="3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36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</row>
    <row r="715" ht="14.25" customHeight="1">
      <c r="A715" s="7"/>
      <c r="B715" s="7"/>
      <c r="C715" s="7"/>
      <c r="D715" s="3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36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</row>
    <row r="716" ht="14.25" customHeight="1">
      <c r="A716" s="7"/>
      <c r="B716" s="7"/>
      <c r="C716" s="7"/>
      <c r="D716" s="3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36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</row>
    <row r="717" ht="14.25" customHeight="1">
      <c r="A717" s="7"/>
      <c r="B717" s="7"/>
      <c r="C717" s="7"/>
      <c r="D717" s="3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36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</row>
    <row r="718" ht="14.25" customHeight="1">
      <c r="A718" s="7"/>
      <c r="B718" s="7"/>
      <c r="C718" s="7"/>
      <c r="D718" s="3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36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</row>
    <row r="719" ht="14.25" customHeight="1">
      <c r="A719" s="7"/>
      <c r="B719" s="7"/>
      <c r="C719" s="7"/>
      <c r="D719" s="3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36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</row>
    <row r="720" ht="14.25" customHeight="1">
      <c r="A720" s="7"/>
      <c r="B720" s="7"/>
      <c r="C720" s="7"/>
      <c r="D720" s="3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36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</row>
    <row r="721" ht="14.25" customHeight="1">
      <c r="A721" s="7"/>
      <c r="B721" s="7"/>
      <c r="C721" s="7"/>
      <c r="D721" s="3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36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</row>
    <row r="722" ht="14.25" customHeight="1">
      <c r="A722" s="7"/>
      <c r="B722" s="7"/>
      <c r="C722" s="7"/>
      <c r="D722" s="3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36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</row>
    <row r="723" ht="14.25" customHeight="1">
      <c r="A723" s="7"/>
      <c r="B723" s="7"/>
      <c r="C723" s="7"/>
      <c r="D723" s="3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36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</row>
    <row r="724" ht="14.25" customHeight="1">
      <c r="A724" s="7"/>
      <c r="B724" s="7"/>
      <c r="C724" s="7"/>
      <c r="D724" s="3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36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</row>
    <row r="725" ht="14.25" customHeight="1">
      <c r="A725" s="7"/>
      <c r="B725" s="7"/>
      <c r="C725" s="7"/>
      <c r="D725" s="3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36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</row>
    <row r="726" ht="14.25" customHeight="1">
      <c r="A726" s="7"/>
      <c r="B726" s="7"/>
      <c r="C726" s="7"/>
      <c r="D726" s="3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36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</row>
    <row r="727" ht="14.25" customHeight="1">
      <c r="A727" s="7"/>
      <c r="B727" s="7"/>
      <c r="C727" s="7"/>
      <c r="D727" s="3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36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</row>
    <row r="728" ht="14.25" customHeight="1">
      <c r="A728" s="7"/>
      <c r="B728" s="7"/>
      <c r="C728" s="7"/>
      <c r="D728" s="3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36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</row>
    <row r="729" ht="14.25" customHeight="1">
      <c r="A729" s="7"/>
      <c r="B729" s="7"/>
      <c r="C729" s="7"/>
      <c r="D729" s="3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36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</row>
    <row r="730" ht="14.25" customHeight="1">
      <c r="A730" s="7"/>
      <c r="B730" s="7"/>
      <c r="C730" s="7"/>
      <c r="D730" s="3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36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</row>
    <row r="731" ht="14.25" customHeight="1">
      <c r="A731" s="7"/>
      <c r="B731" s="7"/>
      <c r="C731" s="7"/>
      <c r="D731" s="3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36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</row>
    <row r="732" ht="14.25" customHeight="1">
      <c r="A732" s="7"/>
      <c r="B732" s="7"/>
      <c r="C732" s="7"/>
      <c r="D732" s="3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36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</row>
    <row r="733" ht="14.25" customHeight="1">
      <c r="A733" s="7"/>
      <c r="B733" s="7"/>
      <c r="C733" s="7"/>
      <c r="D733" s="3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36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</row>
    <row r="734" ht="14.25" customHeight="1">
      <c r="A734" s="7"/>
      <c r="B734" s="7"/>
      <c r="C734" s="7"/>
      <c r="D734" s="3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36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</row>
    <row r="735" ht="14.25" customHeight="1">
      <c r="A735" s="7"/>
      <c r="B735" s="7"/>
      <c r="C735" s="7"/>
      <c r="D735" s="3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36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</row>
    <row r="736" ht="14.25" customHeight="1">
      <c r="A736" s="7"/>
      <c r="B736" s="7"/>
      <c r="C736" s="7"/>
      <c r="D736" s="3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36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</row>
    <row r="737" ht="14.25" customHeight="1">
      <c r="A737" s="7"/>
      <c r="B737" s="7"/>
      <c r="C737" s="7"/>
      <c r="D737" s="3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36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</row>
    <row r="738" ht="14.25" customHeight="1">
      <c r="A738" s="7"/>
      <c r="B738" s="7"/>
      <c r="C738" s="7"/>
      <c r="D738" s="3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36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</row>
    <row r="739" ht="14.25" customHeight="1">
      <c r="A739" s="7"/>
      <c r="B739" s="7"/>
      <c r="C739" s="7"/>
      <c r="D739" s="3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36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</row>
    <row r="740" ht="14.25" customHeight="1">
      <c r="A740" s="7"/>
      <c r="B740" s="7"/>
      <c r="C740" s="7"/>
      <c r="D740" s="3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36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</row>
    <row r="741" ht="14.25" customHeight="1">
      <c r="A741" s="7"/>
      <c r="B741" s="7"/>
      <c r="C741" s="7"/>
      <c r="D741" s="3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36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</row>
    <row r="742" ht="14.25" customHeight="1">
      <c r="A742" s="7"/>
      <c r="B742" s="7"/>
      <c r="C742" s="7"/>
      <c r="D742" s="3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36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</row>
    <row r="743" ht="14.25" customHeight="1">
      <c r="A743" s="7"/>
      <c r="B743" s="7"/>
      <c r="C743" s="7"/>
      <c r="D743" s="3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36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</row>
    <row r="744" ht="14.25" customHeight="1">
      <c r="A744" s="7"/>
      <c r="B744" s="7"/>
      <c r="C744" s="7"/>
      <c r="D744" s="3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36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</row>
    <row r="745" ht="14.25" customHeight="1">
      <c r="A745" s="7"/>
      <c r="B745" s="7"/>
      <c r="C745" s="7"/>
      <c r="D745" s="3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36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</row>
    <row r="746" ht="14.25" customHeight="1">
      <c r="A746" s="7"/>
      <c r="B746" s="7"/>
      <c r="C746" s="7"/>
      <c r="D746" s="3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36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</row>
    <row r="747" ht="14.25" customHeight="1">
      <c r="A747" s="7"/>
      <c r="B747" s="7"/>
      <c r="C747" s="7"/>
      <c r="D747" s="3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36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</row>
    <row r="748" ht="14.25" customHeight="1">
      <c r="A748" s="7"/>
      <c r="B748" s="7"/>
      <c r="C748" s="7"/>
      <c r="D748" s="3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36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</row>
    <row r="749" ht="14.25" customHeight="1">
      <c r="A749" s="7"/>
      <c r="B749" s="7"/>
      <c r="C749" s="7"/>
      <c r="D749" s="3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36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</row>
    <row r="750" ht="14.25" customHeight="1">
      <c r="A750" s="7"/>
      <c r="B750" s="7"/>
      <c r="C750" s="7"/>
      <c r="D750" s="3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36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</row>
    <row r="751" ht="14.25" customHeight="1">
      <c r="A751" s="7"/>
      <c r="B751" s="7"/>
      <c r="C751" s="7"/>
      <c r="D751" s="3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36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</row>
    <row r="752" ht="14.25" customHeight="1">
      <c r="A752" s="7"/>
      <c r="B752" s="7"/>
      <c r="C752" s="7"/>
      <c r="D752" s="3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36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</row>
    <row r="753" ht="14.25" customHeight="1">
      <c r="A753" s="7"/>
      <c r="B753" s="7"/>
      <c r="C753" s="7"/>
      <c r="D753" s="3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36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</row>
    <row r="754" ht="14.25" customHeight="1">
      <c r="A754" s="7"/>
      <c r="B754" s="7"/>
      <c r="C754" s="7"/>
      <c r="D754" s="3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36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</row>
    <row r="755" ht="14.25" customHeight="1">
      <c r="A755" s="7"/>
      <c r="B755" s="7"/>
      <c r="C755" s="7"/>
      <c r="D755" s="3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36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</row>
    <row r="756" ht="14.25" customHeight="1">
      <c r="A756" s="7"/>
      <c r="B756" s="7"/>
      <c r="C756" s="7"/>
      <c r="D756" s="3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36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</row>
    <row r="757" ht="14.25" customHeight="1">
      <c r="A757" s="7"/>
      <c r="B757" s="7"/>
      <c r="C757" s="7"/>
      <c r="D757" s="3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36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</row>
    <row r="758" ht="14.25" customHeight="1">
      <c r="A758" s="7"/>
      <c r="B758" s="7"/>
      <c r="C758" s="7"/>
      <c r="D758" s="3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36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</row>
    <row r="759" ht="14.25" customHeight="1">
      <c r="A759" s="7"/>
      <c r="B759" s="7"/>
      <c r="C759" s="7"/>
      <c r="D759" s="3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36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</row>
    <row r="760" ht="14.25" customHeight="1">
      <c r="A760" s="7"/>
      <c r="B760" s="7"/>
      <c r="C760" s="7"/>
      <c r="D760" s="3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36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</row>
    <row r="761" ht="14.25" customHeight="1">
      <c r="A761" s="7"/>
      <c r="B761" s="7"/>
      <c r="C761" s="7"/>
      <c r="D761" s="3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36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</row>
    <row r="762" ht="14.25" customHeight="1">
      <c r="A762" s="7"/>
      <c r="B762" s="7"/>
      <c r="C762" s="7"/>
      <c r="D762" s="3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36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</row>
    <row r="763" ht="14.25" customHeight="1">
      <c r="A763" s="7"/>
      <c r="B763" s="7"/>
      <c r="C763" s="7"/>
      <c r="D763" s="3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36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</row>
    <row r="764" ht="14.25" customHeight="1">
      <c r="A764" s="7"/>
      <c r="B764" s="7"/>
      <c r="C764" s="7"/>
      <c r="D764" s="3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36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</row>
    <row r="765" ht="14.25" customHeight="1">
      <c r="A765" s="7"/>
      <c r="B765" s="7"/>
      <c r="C765" s="7"/>
      <c r="D765" s="3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36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</row>
    <row r="766" ht="14.25" customHeight="1">
      <c r="A766" s="7"/>
      <c r="B766" s="7"/>
      <c r="C766" s="7"/>
      <c r="D766" s="3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36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</row>
    <row r="767" ht="14.25" customHeight="1">
      <c r="A767" s="7"/>
      <c r="B767" s="7"/>
      <c r="C767" s="7"/>
      <c r="D767" s="3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36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</row>
    <row r="768" ht="14.25" customHeight="1">
      <c r="A768" s="7"/>
      <c r="B768" s="7"/>
      <c r="C768" s="7"/>
      <c r="D768" s="3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36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</row>
    <row r="769" ht="14.25" customHeight="1">
      <c r="A769" s="7"/>
      <c r="B769" s="7"/>
      <c r="C769" s="7"/>
      <c r="D769" s="3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36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</row>
    <row r="770" ht="14.25" customHeight="1">
      <c r="A770" s="7"/>
      <c r="B770" s="7"/>
      <c r="C770" s="7"/>
      <c r="D770" s="3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36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</row>
    <row r="771" ht="14.25" customHeight="1">
      <c r="A771" s="7"/>
      <c r="B771" s="7"/>
      <c r="C771" s="7"/>
      <c r="D771" s="3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36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</row>
    <row r="772" ht="14.25" customHeight="1">
      <c r="A772" s="7"/>
      <c r="B772" s="7"/>
      <c r="C772" s="7"/>
      <c r="D772" s="3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36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</row>
    <row r="773" ht="14.25" customHeight="1">
      <c r="A773" s="7"/>
      <c r="B773" s="7"/>
      <c r="C773" s="7"/>
      <c r="D773" s="3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36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</row>
    <row r="774" ht="14.25" customHeight="1">
      <c r="A774" s="7"/>
      <c r="B774" s="7"/>
      <c r="C774" s="7"/>
      <c r="D774" s="3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36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</row>
    <row r="775" ht="14.25" customHeight="1">
      <c r="A775" s="7"/>
      <c r="B775" s="7"/>
      <c r="C775" s="7"/>
      <c r="D775" s="3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36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</row>
    <row r="776" ht="14.25" customHeight="1">
      <c r="A776" s="7"/>
      <c r="B776" s="7"/>
      <c r="C776" s="7"/>
      <c r="D776" s="3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36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</row>
    <row r="777" ht="14.25" customHeight="1">
      <c r="A777" s="7"/>
      <c r="B777" s="7"/>
      <c r="C777" s="7"/>
      <c r="D777" s="3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36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</row>
    <row r="778" ht="14.25" customHeight="1">
      <c r="A778" s="7"/>
      <c r="B778" s="7"/>
      <c r="C778" s="7"/>
      <c r="D778" s="3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36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</row>
    <row r="779" ht="14.25" customHeight="1">
      <c r="A779" s="7"/>
      <c r="B779" s="7"/>
      <c r="C779" s="7"/>
      <c r="D779" s="3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36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</row>
    <row r="780" ht="14.25" customHeight="1">
      <c r="A780" s="7"/>
      <c r="B780" s="7"/>
      <c r="C780" s="7"/>
      <c r="D780" s="3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36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</row>
    <row r="781" ht="14.25" customHeight="1">
      <c r="A781" s="7"/>
      <c r="B781" s="7"/>
      <c r="C781" s="7"/>
      <c r="D781" s="3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36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</row>
    <row r="782" ht="14.25" customHeight="1">
      <c r="A782" s="7"/>
      <c r="B782" s="7"/>
      <c r="C782" s="7"/>
      <c r="D782" s="3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36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</row>
    <row r="783" ht="14.25" customHeight="1">
      <c r="A783" s="7"/>
      <c r="B783" s="7"/>
      <c r="C783" s="7"/>
      <c r="D783" s="3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36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</row>
    <row r="784" ht="14.25" customHeight="1">
      <c r="A784" s="7"/>
      <c r="B784" s="7"/>
      <c r="C784" s="7"/>
      <c r="D784" s="3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36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</row>
    <row r="785" ht="14.25" customHeight="1">
      <c r="A785" s="7"/>
      <c r="B785" s="7"/>
      <c r="C785" s="7"/>
      <c r="D785" s="3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36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</row>
    <row r="786" ht="14.25" customHeight="1">
      <c r="A786" s="7"/>
      <c r="B786" s="7"/>
      <c r="C786" s="7"/>
      <c r="D786" s="3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36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</row>
    <row r="787" ht="14.25" customHeight="1">
      <c r="A787" s="7"/>
      <c r="B787" s="7"/>
      <c r="C787" s="7"/>
      <c r="D787" s="3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36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</row>
    <row r="788" ht="14.25" customHeight="1">
      <c r="A788" s="7"/>
      <c r="B788" s="7"/>
      <c r="C788" s="7"/>
      <c r="D788" s="3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36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</row>
    <row r="789" ht="14.25" customHeight="1">
      <c r="A789" s="7"/>
      <c r="B789" s="7"/>
      <c r="C789" s="7"/>
      <c r="D789" s="3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36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</row>
    <row r="790" ht="14.25" customHeight="1">
      <c r="A790" s="7"/>
      <c r="B790" s="7"/>
      <c r="C790" s="7"/>
      <c r="D790" s="3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36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</row>
    <row r="791" ht="14.25" customHeight="1">
      <c r="A791" s="7"/>
      <c r="B791" s="7"/>
      <c r="C791" s="7"/>
      <c r="D791" s="3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36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</row>
    <row r="792" ht="14.25" customHeight="1">
      <c r="A792" s="7"/>
      <c r="B792" s="7"/>
      <c r="C792" s="7"/>
      <c r="D792" s="3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36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</row>
    <row r="793" ht="14.25" customHeight="1">
      <c r="A793" s="7"/>
      <c r="B793" s="7"/>
      <c r="C793" s="7"/>
      <c r="D793" s="3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36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</row>
    <row r="794" ht="14.25" customHeight="1">
      <c r="A794" s="7"/>
      <c r="B794" s="7"/>
      <c r="C794" s="7"/>
      <c r="D794" s="3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36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</row>
    <row r="795" ht="14.25" customHeight="1">
      <c r="A795" s="7"/>
      <c r="B795" s="7"/>
      <c r="C795" s="7"/>
      <c r="D795" s="3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36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</row>
    <row r="796" ht="14.25" customHeight="1">
      <c r="A796" s="7"/>
      <c r="B796" s="7"/>
      <c r="C796" s="7"/>
      <c r="D796" s="3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36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</row>
    <row r="797" ht="14.25" customHeight="1">
      <c r="A797" s="7"/>
      <c r="B797" s="7"/>
      <c r="C797" s="7"/>
      <c r="D797" s="3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36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</row>
    <row r="798" ht="14.25" customHeight="1">
      <c r="A798" s="7"/>
      <c r="B798" s="7"/>
      <c r="C798" s="7"/>
      <c r="D798" s="3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36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</row>
    <row r="799" ht="14.25" customHeight="1">
      <c r="A799" s="7"/>
      <c r="B799" s="7"/>
      <c r="C799" s="7"/>
      <c r="D799" s="3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36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</row>
    <row r="800" ht="14.25" customHeight="1">
      <c r="A800" s="7"/>
      <c r="B800" s="7"/>
      <c r="C800" s="7"/>
      <c r="D800" s="3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36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</row>
    <row r="801" ht="14.25" customHeight="1">
      <c r="A801" s="7"/>
      <c r="B801" s="7"/>
      <c r="C801" s="7"/>
      <c r="D801" s="3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36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</row>
    <row r="802" ht="14.25" customHeight="1">
      <c r="A802" s="7"/>
      <c r="B802" s="7"/>
      <c r="C802" s="7"/>
      <c r="D802" s="3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36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</row>
    <row r="803" ht="14.25" customHeight="1">
      <c r="A803" s="7"/>
      <c r="B803" s="7"/>
      <c r="C803" s="7"/>
      <c r="D803" s="3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36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</row>
    <row r="804" ht="14.25" customHeight="1">
      <c r="A804" s="7"/>
      <c r="B804" s="7"/>
      <c r="C804" s="7"/>
      <c r="D804" s="3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36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</row>
    <row r="805" ht="14.25" customHeight="1">
      <c r="A805" s="7"/>
      <c r="B805" s="7"/>
      <c r="C805" s="7"/>
      <c r="D805" s="3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36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</row>
    <row r="806" ht="14.25" customHeight="1">
      <c r="A806" s="7"/>
      <c r="B806" s="7"/>
      <c r="C806" s="7"/>
      <c r="D806" s="3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36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</row>
    <row r="807" ht="14.25" customHeight="1">
      <c r="A807" s="7"/>
      <c r="B807" s="7"/>
      <c r="C807" s="7"/>
      <c r="D807" s="3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36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</row>
    <row r="808" ht="14.25" customHeight="1">
      <c r="A808" s="7"/>
      <c r="B808" s="7"/>
      <c r="C808" s="7"/>
      <c r="D808" s="3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36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</row>
    <row r="809" ht="14.25" customHeight="1">
      <c r="A809" s="7"/>
      <c r="B809" s="7"/>
      <c r="C809" s="7"/>
      <c r="D809" s="3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36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</row>
    <row r="810" ht="14.25" customHeight="1">
      <c r="A810" s="7"/>
      <c r="B810" s="7"/>
      <c r="C810" s="7"/>
      <c r="D810" s="3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36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</row>
    <row r="811" ht="14.25" customHeight="1">
      <c r="A811" s="7"/>
      <c r="B811" s="7"/>
      <c r="C811" s="7"/>
      <c r="D811" s="3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36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</row>
    <row r="812" ht="14.25" customHeight="1">
      <c r="A812" s="7"/>
      <c r="B812" s="7"/>
      <c r="C812" s="7"/>
      <c r="D812" s="3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36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</row>
    <row r="813" ht="14.25" customHeight="1">
      <c r="A813" s="7"/>
      <c r="B813" s="7"/>
      <c r="C813" s="7"/>
      <c r="D813" s="3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36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</row>
    <row r="814" ht="14.25" customHeight="1">
      <c r="A814" s="7"/>
      <c r="B814" s="7"/>
      <c r="C814" s="7"/>
      <c r="D814" s="3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36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</row>
    <row r="815" ht="14.25" customHeight="1">
      <c r="A815" s="7"/>
      <c r="B815" s="7"/>
      <c r="C815" s="7"/>
      <c r="D815" s="3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36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</row>
    <row r="816" ht="14.25" customHeight="1">
      <c r="A816" s="7"/>
      <c r="B816" s="7"/>
      <c r="C816" s="7"/>
      <c r="D816" s="3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36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</row>
    <row r="817" ht="14.25" customHeight="1">
      <c r="A817" s="7"/>
      <c r="B817" s="7"/>
      <c r="C817" s="7"/>
      <c r="D817" s="3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36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</row>
    <row r="818" ht="14.25" customHeight="1">
      <c r="A818" s="7"/>
      <c r="B818" s="7"/>
      <c r="C818" s="7"/>
      <c r="D818" s="3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36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</row>
    <row r="819" ht="14.25" customHeight="1">
      <c r="A819" s="7"/>
      <c r="B819" s="7"/>
      <c r="C819" s="7"/>
      <c r="D819" s="3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36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</row>
    <row r="820" ht="14.25" customHeight="1">
      <c r="A820" s="7"/>
      <c r="B820" s="7"/>
      <c r="C820" s="7"/>
      <c r="D820" s="3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36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</row>
    <row r="821" ht="14.25" customHeight="1">
      <c r="A821" s="7"/>
      <c r="B821" s="7"/>
      <c r="C821" s="7"/>
      <c r="D821" s="3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36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</row>
    <row r="822" ht="14.25" customHeight="1">
      <c r="A822" s="7"/>
      <c r="B822" s="7"/>
      <c r="C822" s="7"/>
      <c r="D822" s="3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36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</row>
    <row r="823" ht="14.25" customHeight="1">
      <c r="A823" s="7"/>
      <c r="B823" s="7"/>
      <c r="C823" s="7"/>
      <c r="D823" s="3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36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</row>
    <row r="824" ht="14.25" customHeight="1">
      <c r="A824" s="7"/>
      <c r="B824" s="7"/>
      <c r="C824" s="7"/>
      <c r="D824" s="3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36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</row>
    <row r="825" ht="14.25" customHeight="1">
      <c r="A825" s="7"/>
      <c r="B825" s="7"/>
      <c r="C825" s="7"/>
      <c r="D825" s="3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36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</row>
    <row r="826" ht="14.25" customHeight="1">
      <c r="A826" s="7"/>
      <c r="B826" s="7"/>
      <c r="C826" s="7"/>
      <c r="D826" s="3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36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</row>
    <row r="827" ht="14.25" customHeight="1">
      <c r="A827" s="7"/>
      <c r="B827" s="7"/>
      <c r="C827" s="7"/>
      <c r="D827" s="3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36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</row>
    <row r="828" ht="14.25" customHeight="1">
      <c r="A828" s="7"/>
      <c r="B828" s="7"/>
      <c r="C828" s="7"/>
      <c r="D828" s="3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36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</row>
    <row r="829" ht="14.25" customHeight="1">
      <c r="A829" s="7"/>
      <c r="B829" s="7"/>
      <c r="C829" s="7"/>
      <c r="D829" s="3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36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</row>
    <row r="830" ht="14.25" customHeight="1">
      <c r="A830" s="7"/>
      <c r="B830" s="7"/>
      <c r="C830" s="7"/>
      <c r="D830" s="3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36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</row>
    <row r="831" ht="14.25" customHeight="1">
      <c r="A831" s="7"/>
      <c r="B831" s="7"/>
      <c r="C831" s="7"/>
      <c r="D831" s="3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36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</row>
    <row r="832" ht="14.25" customHeight="1">
      <c r="A832" s="7"/>
      <c r="B832" s="7"/>
      <c r="C832" s="7"/>
      <c r="D832" s="3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36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</row>
    <row r="833" ht="14.25" customHeight="1">
      <c r="A833" s="7"/>
      <c r="B833" s="7"/>
      <c r="C833" s="7"/>
      <c r="D833" s="3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36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</row>
    <row r="834" ht="14.25" customHeight="1">
      <c r="A834" s="7"/>
      <c r="B834" s="7"/>
      <c r="C834" s="7"/>
      <c r="D834" s="3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36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</row>
    <row r="835" ht="14.25" customHeight="1">
      <c r="A835" s="7"/>
      <c r="B835" s="7"/>
      <c r="C835" s="7"/>
      <c r="D835" s="3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36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</row>
    <row r="836" ht="14.25" customHeight="1">
      <c r="A836" s="7"/>
      <c r="B836" s="7"/>
      <c r="C836" s="7"/>
      <c r="D836" s="3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36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</row>
    <row r="837" ht="14.25" customHeight="1">
      <c r="A837" s="7"/>
      <c r="B837" s="7"/>
      <c r="C837" s="7"/>
      <c r="D837" s="3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36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</row>
    <row r="838" ht="14.25" customHeight="1">
      <c r="A838" s="7"/>
      <c r="B838" s="7"/>
      <c r="C838" s="7"/>
      <c r="D838" s="3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36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</row>
    <row r="839" ht="14.25" customHeight="1">
      <c r="A839" s="7"/>
      <c r="B839" s="7"/>
      <c r="C839" s="7"/>
      <c r="D839" s="3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36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</row>
    <row r="840" ht="14.25" customHeight="1">
      <c r="A840" s="7"/>
      <c r="B840" s="7"/>
      <c r="C840" s="7"/>
      <c r="D840" s="3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36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</row>
    <row r="841" ht="14.25" customHeight="1">
      <c r="A841" s="7"/>
      <c r="B841" s="7"/>
      <c r="C841" s="7"/>
      <c r="D841" s="3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36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</row>
    <row r="842" ht="14.25" customHeight="1">
      <c r="A842" s="7"/>
      <c r="B842" s="7"/>
      <c r="C842" s="7"/>
      <c r="D842" s="3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36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</row>
    <row r="843" ht="14.25" customHeight="1">
      <c r="A843" s="7"/>
      <c r="B843" s="7"/>
      <c r="C843" s="7"/>
      <c r="D843" s="3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36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</row>
    <row r="844" ht="14.25" customHeight="1">
      <c r="A844" s="7"/>
      <c r="B844" s="7"/>
      <c r="C844" s="7"/>
      <c r="D844" s="3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36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</row>
    <row r="845" ht="14.25" customHeight="1">
      <c r="A845" s="7"/>
      <c r="B845" s="7"/>
      <c r="C845" s="7"/>
      <c r="D845" s="3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36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</row>
    <row r="846" ht="14.25" customHeight="1">
      <c r="A846" s="7"/>
      <c r="B846" s="7"/>
      <c r="C846" s="7"/>
      <c r="D846" s="3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36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</row>
    <row r="847" ht="14.25" customHeight="1">
      <c r="A847" s="7"/>
      <c r="B847" s="7"/>
      <c r="C847" s="7"/>
      <c r="D847" s="3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36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</row>
    <row r="848" ht="14.25" customHeight="1">
      <c r="A848" s="7"/>
      <c r="B848" s="7"/>
      <c r="C848" s="7"/>
      <c r="D848" s="3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36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</row>
    <row r="849" ht="14.25" customHeight="1">
      <c r="A849" s="7"/>
      <c r="B849" s="7"/>
      <c r="C849" s="7"/>
      <c r="D849" s="3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36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</row>
    <row r="850" ht="14.25" customHeight="1">
      <c r="A850" s="7"/>
      <c r="B850" s="7"/>
      <c r="C850" s="7"/>
      <c r="D850" s="3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36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</row>
    <row r="851" ht="14.25" customHeight="1">
      <c r="A851" s="7"/>
      <c r="B851" s="7"/>
      <c r="C851" s="7"/>
      <c r="D851" s="3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36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</row>
    <row r="852" ht="14.25" customHeight="1">
      <c r="A852" s="7"/>
      <c r="B852" s="7"/>
      <c r="C852" s="7"/>
      <c r="D852" s="3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36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</row>
    <row r="853" ht="14.25" customHeight="1">
      <c r="A853" s="7"/>
      <c r="B853" s="7"/>
      <c r="C853" s="7"/>
      <c r="D853" s="3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36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</row>
    <row r="854" ht="14.25" customHeight="1">
      <c r="A854" s="7"/>
      <c r="B854" s="7"/>
      <c r="C854" s="7"/>
      <c r="D854" s="3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36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</row>
    <row r="855" ht="14.25" customHeight="1">
      <c r="A855" s="7"/>
      <c r="B855" s="7"/>
      <c r="C855" s="7"/>
      <c r="D855" s="3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36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</row>
    <row r="856" ht="14.25" customHeight="1">
      <c r="A856" s="7"/>
      <c r="B856" s="7"/>
      <c r="C856" s="7"/>
      <c r="D856" s="3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36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</row>
    <row r="857" ht="14.25" customHeight="1">
      <c r="A857" s="7"/>
      <c r="B857" s="7"/>
      <c r="C857" s="7"/>
      <c r="D857" s="3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36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</row>
    <row r="858" ht="14.25" customHeight="1">
      <c r="A858" s="7"/>
      <c r="B858" s="7"/>
      <c r="C858" s="7"/>
      <c r="D858" s="3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36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</row>
    <row r="859" ht="14.25" customHeight="1">
      <c r="A859" s="7"/>
      <c r="B859" s="7"/>
      <c r="C859" s="7"/>
      <c r="D859" s="3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36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</row>
    <row r="860" ht="14.25" customHeight="1">
      <c r="A860" s="7"/>
      <c r="B860" s="7"/>
      <c r="C860" s="7"/>
      <c r="D860" s="3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36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</row>
    <row r="861" ht="14.25" customHeight="1">
      <c r="A861" s="7"/>
      <c r="B861" s="7"/>
      <c r="C861" s="7"/>
      <c r="D861" s="3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36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</row>
    <row r="862" ht="14.25" customHeight="1">
      <c r="A862" s="7"/>
      <c r="B862" s="7"/>
      <c r="C862" s="7"/>
      <c r="D862" s="3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36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</row>
    <row r="863" ht="14.25" customHeight="1">
      <c r="A863" s="7"/>
      <c r="B863" s="7"/>
      <c r="C863" s="7"/>
      <c r="D863" s="3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36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</row>
    <row r="864" ht="14.25" customHeight="1">
      <c r="A864" s="7"/>
      <c r="B864" s="7"/>
      <c r="C864" s="7"/>
      <c r="D864" s="3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36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</row>
    <row r="865" ht="14.25" customHeight="1">
      <c r="A865" s="7"/>
      <c r="B865" s="7"/>
      <c r="C865" s="7"/>
      <c r="D865" s="3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36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</row>
    <row r="866" ht="14.25" customHeight="1">
      <c r="A866" s="7"/>
      <c r="B866" s="7"/>
      <c r="C866" s="7"/>
      <c r="D866" s="3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36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</row>
    <row r="867" ht="14.25" customHeight="1">
      <c r="A867" s="7"/>
      <c r="B867" s="7"/>
      <c r="C867" s="7"/>
      <c r="D867" s="3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36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</row>
    <row r="868" ht="14.25" customHeight="1">
      <c r="A868" s="7"/>
      <c r="B868" s="7"/>
      <c r="C868" s="7"/>
      <c r="D868" s="3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36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</row>
    <row r="869" ht="14.25" customHeight="1">
      <c r="A869" s="7"/>
      <c r="B869" s="7"/>
      <c r="C869" s="7"/>
      <c r="D869" s="3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36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</row>
    <row r="870" ht="14.25" customHeight="1">
      <c r="A870" s="7"/>
      <c r="B870" s="7"/>
      <c r="C870" s="7"/>
      <c r="D870" s="3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36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</row>
    <row r="871" ht="14.25" customHeight="1">
      <c r="A871" s="7"/>
      <c r="B871" s="7"/>
      <c r="C871" s="7"/>
      <c r="D871" s="3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36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</row>
    <row r="872" ht="14.25" customHeight="1">
      <c r="A872" s="7"/>
      <c r="B872" s="7"/>
      <c r="C872" s="7"/>
      <c r="D872" s="3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36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</row>
    <row r="873" ht="14.25" customHeight="1">
      <c r="A873" s="7"/>
      <c r="B873" s="7"/>
      <c r="C873" s="7"/>
      <c r="D873" s="3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36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</row>
    <row r="874" ht="14.25" customHeight="1">
      <c r="A874" s="7"/>
      <c r="B874" s="7"/>
      <c r="C874" s="7"/>
      <c r="D874" s="3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36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</row>
    <row r="875" ht="14.25" customHeight="1">
      <c r="A875" s="7"/>
      <c r="B875" s="7"/>
      <c r="C875" s="7"/>
      <c r="D875" s="3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36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</row>
    <row r="876" ht="14.25" customHeight="1">
      <c r="A876" s="7"/>
      <c r="B876" s="7"/>
      <c r="C876" s="7"/>
      <c r="D876" s="3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36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</row>
    <row r="877" ht="14.25" customHeight="1">
      <c r="A877" s="7"/>
      <c r="B877" s="7"/>
      <c r="C877" s="7"/>
      <c r="D877" s="3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36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</row>
    <row r="878" ht="14.25" customHeight="1">
      <c r="A878" s="7"/>
      <c r="B878" s="7"/>
      <c r="C878" s="7"/>
      <c r="D878" s="3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36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</row>
    <row r="879" ht="14.25" customHeight="1">
      <c r="A879" s="7"/>
      <c r="B879" s="7"/>
      <c r="C879" s="7"/>
      <c r="D879" s="3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36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</row>
    <row r="880" ht="14.25" customHeight="1">
      <c r="A880" s="7"/>
      <c r="B880" s="7"/>
      <c r="C880" s="7"/>
      <c r="D880" s="3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36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</row>
    <row r="881" ht="14.25" customHeight="1">
      <c r="A881" s="7"/>
      <c r="B881" s="7"/>
      <c r="C881" s="7"/>
      <c r="D881" s="3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36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</row>
    <row r="882" ht="14.25" customHeight="1">
      <c r="A882" s="7"/>
      <c r="B882" s="7"/>
      <c r="C882" s="7"/>
      <c r="D882" s="3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36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</row>
    <row r="883" ht="14.25" customHeight="1">
      <c r="A883" s="7"/>
      <c r="B883" s="7"/>
      <c r="C883" s="7"/>
      <c r="D883" s="3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36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</row>
    <row r="884" ht="14.25" customHeight="1">
      <c r="A884" s="7"/>
      <c r="B884" s="7"/>
      <c r="C884" s="7"/>
      <c r="D884" s="3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36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</row>
    <row r="885" ht="14.25" customHeight="1">
      <c r="A885" s="7"/>
      <c r="B885" s="7"/>
      <c r="C885" s="7"/>
      <c r="D885" s="3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36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</row>
    <row r="886" ht="14.25" customHeight="1">
      <c r="A886" s="7"/>
      <c r="B886" s="7"/>
      <c r="C886" s="7"/>
      <c r="D886" s="3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36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</row>
    <row r="887" ht="14.25" customHeight="1">
      <c r="A887" s="7"/>
      <c r="B887" s="7"/>
      <c r="C887" s="7"/>
      <c r="D887" s="3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36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</row>
    <row r="888" ht="14.25" customHeight="1">
      <c r="A888" s="7"/>
      <c r="B888" s="7"/>
      <c r="C888" s="7"/>
      <c r="D888" s="3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36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</row>
    <row r="889" ht="14.25" customHeight="1">
      <c r="A889" s="7"/>
      <c r="B889" s="7"/>
      <c r="C889" s="7"/>
      <c r="D889" s="3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36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</row>
    <row r="890" ht="14.25" customHeight="1">
      <c r="A890" s="7"/>
      <c r="B890" s="7"/>
      <c r="C890" s="7"/>
      <c r="D890" s="3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36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</row>
    <row r="891" ht="14.25" customHeight="1">
      <c r="A891" s="7"/>
      <c r="B891" s="7"/>
      <c r="C891" s="7"/>
      <c r="D891" s="3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36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</row>
    <row r="892" ht="14.25" customHeight="1">
      <c r="A892" s="7"/>
      <c r="B892" s="7"/>
      <c r="C892" s="7"/>
      <c r="D892" s="3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36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</row>
    <row r="893" ht="14.25" customHeight="1">
      <c r="A893" s="7"/>
      <c r="B893" s="7"/>
      <c r="C893" s="7"/>
      <c r="D893" s="3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36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</row>
    <row r="894" ht="14.25" customHeight="1">
      <c r="A894" s="7"/>
      <c r="B894" s="7"/>
      <c r="C894" s="7"/>
      <c r="D894" s="3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36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</row>
    <row r="895" ht="14.25" customHeight="1">
      <c r="A895" s="7"/>
      <c r="B895" s="7"/>
      <c r="C895" s="7"/>
      <c r="D895" s="3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36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</row>
    <row r="896" ht="14.25" customHeight="1">
      <c r="A896" s="7"/>
      <c r="B896" s="7"/>
      <c r="C896" s="7"/>
      <c r="D896" s="3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36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</row>
    <row r="897" ht="14.25" customHeight="1">
      <c r="A897" s="7"/>
      <c r="B897" s="7"/>
      <c r="C897" s="7"/>
      <c r="D897" s="3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36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</row>
    <row r="898" ht="14.25" customHeight="1">
      <c r="A898" s="7"/>
      <c r="B898" s="7"/>
      <c r="C898" s="7"/>
      <c r="D898" s="3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36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</row>
    <row r="899" ht="14.25" customHeight="1">
      <c r="A899" s="7"/>
      <c r="B899" s="7"/>
      <c r="C899" s="7"/>
      <c r="D899" s="3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36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</row>
    <row r="900" ht="14.25" customHeight="1">
      <c r="A900" s="7"/>
      <c r="B900" s="7"/>
      <c r="C900" s="7"/>
      <c r="D900" s="3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36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</row>
    <row r="901" ht="14.25" customHeight="1">
      <c r="A901" s="7"/>
      <c r="B901" s="7"/>
      <c r="C901" s="7"/>
      <c r="D901" s="3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36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</row>
    <row r="902" ht="14.25" customHeight="1">
      <c r="A902" s="7"/>
      <c r="B902" s="7"/>
      <c r="C902" s="7"/>
      <c r="D902" s="3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36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</row>
    <row r="903" ht="14.25" customHeight="1">
      <c r="A903" s="7"/>
      <c r="B903" s="7"/>
      <c r="C903" s="7"/>
      <c r="D903" s="3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36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</row>
    <row r="904" ht="14.25" customHeight="1">
      <c r="A904" s="7"/>
      <c r="B904" s="7"/>
      <c r="C904" s="7"/>
      <c r="D904" s="3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36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</row>
    <row r="905" ht="14.25" customHeight="1">
      <c r="A905" s="7"/>
      <c r="B905" s="7"/>
      <c r="C905" s="7"/>
      <c r="D905" s="3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36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</row>
    <row r="906" ht="14.25" customHeight="1">
      <c r="A906" s="7"/>
      <c r="B906" s="7"/>
      <c r="C906" s="7"/>
      <c r="D906" s="3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36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</row>
    <row r="907" ht="14.25" customHeight="1">
      <c r="A907" s="7"/>
      <c r="B907" s="7"/>
      <c r="C907" s="7"/>
      <c r="D907" s="3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36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</row>
    <row r="908" ht="14.25" customHeight="1">
      <c r="A908" s="7"/>
      <c r="B908" s="7"/>
      <c r="C908" s="7"/>
      <c r="D908" s="3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36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</row>
    <row r="909" ht="14.25" customHeight="1">
      <c r="A909" s="7"/>
      <c r="B909" s="7"/>
      <c r="C909" s="7"/>
      <c r="D909" s="3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36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</row>
    <row r="910" ht="14.25" customHeight="1">
      <c r="A910" s="7"/>
      <c r="B910" s="7"/>
      <c r="C910" s="7"/>
      <c r="D910" s="3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36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</row>
    <row r="911" ht="14.25" customHeight="1">
      <c r="A911" s="7"/>
      <c r="B911" s="7"/>
      <c r="C911" s="7"/>
      <c r="D911" s="3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36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</row>
    <row r="912" ht="14.25" customHeight="1">
      <c r="A912" s="7"/>
      <c r="B912" s="7"/>
      <c r="C912" s="7"/>
      <c r="D912" s="3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36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</row>
    <row r="913" ht="14.25" customHeight="1">
      <c r="A913" s="7"/>
      <c r="B913" s="7"/>
      <c r="C913" s="7"/>
      <c r="D913" s="3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36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</row>
    <row r="914" ht="14.25" customHeight="1">
      <c r="A914" s="7"/>
      <c r="B914" s="7"/>
      <c r="C914" s="7"/>
      <c r="D914" s="3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36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</row>
    <row r="915" ht="14.25" customHeight="1">
      <c r="A915" s="7"/>
      <c r="B915" s="7"/>
      <c r="C915" s="7"/>
      <c r="D915" s="3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36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</row>
    <row r="916" ht="14.25" customHeight="1">
      <c r="A916" s="7"/>
      <c r="B916" s="7"/>
      <c r="C916" s="7"/>
      <c r="D916" s="3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36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</row>
    <row r="917" ht="14.25" customHeight="1">
      <c r="A917" s="7"/>
      <c r="B917" s="7"/>
      <c r="C917" s="7"/>
      <c r="D917" s="3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36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</row>
    <row r="918" ht="14.25" customHeight="1">
      <c r="A918" s="7"/>
      <c r="B918" s="7"/>
      <c r="C918" s="7"/>
      <c r="D918" s="3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36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</row>
    <row r="919" ht="14.25" customHeight="1">
      <c r="A919" s="7"/>
      <c r="B919" s="7"/>
      <c r="C919" s="7"/>
      <c r="D919" s="3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36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</row>
    <row r="920" ht="14.25" customHeight="1">
      <c r="A920" s="7"/>
      <c r="B920" s="7"/>
      <c r="C920" s="7"/>
      <c r="D920" s="3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36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</row>
    <row r="921" ht="14.25" customHeight="1">
      <c r="A921" s="7"/>
      <c r="B921" s="7"/>
      <c r="C921" s="7"/>
      <c r="D921" s="3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36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</row>
    <row r="922" ht="14.25" customHeight="1">
      <c r="A922" s="7"/>
      <c r="B922" s="7"/>
      <c r="C922" s="7"/>
      <c r="D922" s="3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36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</row>
    <row r="923" ht="14.25" customHeight="1">
      <c r="A923" s="7"/>
      <c r="B923" s="7"/>
      <c r="C923" s="7"/>
      <c r="D923" s="3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36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</row>
    <row r="924" ht="14.25" customHeight="1">
      <c r="A924" s="7"/>
      <c r="B924" s="7"/>
      <c r="C924" s="7"/>
      <c r="D924" s="3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36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</row>
    <row r="925" ht="14.25" customHeight="1">
      <c r="A925" s="7"/>
      <c r="B925" s="7"/>
      <c r="C925" s="7"/>
      <c r="D925" s="3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36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</row>
    <row r="926" ht="14.25" customHeight="1">
      <c r="A926" s="7"/>
      <c r="B926" s="7"/>
      <c r="C926" s="7"/>
      <c r="D926" s="3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36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</row>
    <row r="927" ht="14.25" customHeight="1">
      <c r="A927" s="7"/>
      <c r="B927" s="7"/>
      <c r="C927" s="7"/>
      <c r="D927" s="3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36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</row>
    <row r="928" ht="14.25" customHeight="1">
      <c r="A928" s="7"/>
      <c r="B928" s="7"/>
      <c r="C928" s="7"/>
      <c r="D928" s="3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36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</row>
    <row r="929" ht="14.25" customHeight="1">
      <c r="A929" s="7"/>
      <c r="B929" s="7"/>
      <c r="C929" s="7"/>
      <c r="D929" s="3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36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</row>
    <row r="930" ht="14.25" customHeight="1">
      <c r="A930" s="7"/>
      <c r="B930" s="7"/>
      <c r="C930" s="7"/>
      <c r="D930" s="3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36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</row>
    <row r="931" ht="14.25" customHeight="1">
      <c r="A931" s="7"/>
      <c r="B931" s="7"/>
      <c r="C931" s="7"/>
      <c r="D931" s="3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36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</row>
    <row r="932" ht="14.25" customHeight="1">
      <c r="A932" s="7"/>
      <c r="B932" s="7"/>
      <c r="C932" s="7"/>
      <c r="D932" s="3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36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</row>
    <row r="933" ht="14.25" customHeight="1">
      <c r="A933" s="7"/>
      <c r="B933" s="7"/>
      <c r="C933" s="7"/>
      <c r="D933" s="3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36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</row>
    <row r="934" ht="14.25" customHeight="1">
      <c r="A934" s="7"/>
      <c r="B934" s="7"/>
      <c r="C934" s="7"/>
      <c r="D934" s="3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36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</row>
    <row r="935" ht="14.25" customHeight="1">
      <c r="A935" s="7"/>
      <c r="B935" s="7"/>
      <c r="C935" s="7"/>
      <c r="D935" s="3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36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</row>
    <row r="936" ht="14.25" customHeight="1">
      <c r="A936" s="7"/>
      <c r="B936" s="7"/>
      <c r="C936" s="7"/>
      <c r="D936" s="3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36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</row>
    <row r="937" ht="14.25" customHeight="1">
      <c r="A937" s="7"/>
      <c r="B937" s="7"/>
      <c r="C937" s="7"/>
      <c r="D937" s="3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36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</row>
    <row r="938" ht="14.25" customHeight="1">
      <c r="A938" s="7"/>
      <c r="B938" s="7"/>
      <c r="C938" s="7"/>
      <c r="D938" s="3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36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</row>
    <row r="939" ht="14.25" customHeight="1">
      <c r="A939" s="7"/>
      <c r="B939" s="7"/>
      <c r="C939" s="7"/>
      <c r="D939" s="3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36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</row>
    <row r="940" ht="14.25" customHeight="1">
      <c r="A940" s="7"/>
      <c r="B940" s="7"/>
      <c r="C940" s="7"/>
      <c r="D940" s="3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36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</row>
    <row r="941" ht="14.25" customHeight="1">
      <c r="A941" s="7"/>
      <c r="B941" s="7"/>
      <c r="C941" s="7"/>
      <c r="D941" s="3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36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</row>
    <row r="942" ht="14.25" customHeight="1">
      <c r="A942" s="7"/>
      <c r="B942" s="7"/>
      <c r="C942" s="7"/>
      <c r="D942" s="3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36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</row>
    <row r="943" ht="14.25" customHeight="1">
      <c r="A943" s="7"/>
      <c r="B943" s="7"/>
      <c r="C943" s="7"/>
      <c r="D943" s="3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36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</row>
    <row r="944" ht="14.25" customHeight="1">
      <c r="A944" s="7"/>
      <c r="B944" s="7"/>
      <c r="C944" s="7"/>
      <c r="D944" s="3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36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</row>
    <row r="945" ht="14.25" customHeight="1">
      <c r="A945" s="7"/>
      <c r="B945" s="7"/>
      <c r="C945" s="7"/>
      <c r="D945" s="3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36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</row>
    <row r="946" ht="14.25" customHeight="1">
      <c r="A946" s="7"/>
      <c r="B946" s="7"/>
      <c r="C946" s="7"/>
      <c r="D946" s="3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36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</row>
    <row r="947" ht="14.25" customHeight="1">
      <c r="A947" s="7"/>
      <c r="B947" s="7"/>
      <c r="C947" s="7"/>
      <c r="D947" s="3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36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</row>
    <row r="948" ht="14.25" customHeight="1">
      <c r="A948" s="7"/>
      <c r="B948" s="7"/>
      <c r="C948" s="7"/>
      <c r="D948" s="3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36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</row>
    <row r="949" ht="14.25" customHeight="1">
      <c r="A949" s="7"/>
      <c r="B949" s="7"/>
      <c r="C949" s="7"/>
      <c r="D949" s="3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36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</row>
    <row r="950" ht="14.25" customHeight="1">
      <c r="A950" s="7"/>
      <c r="B950" s="7"/>
      <c r="C950" s="7"/>
      <c r="D950" s="3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36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</row>
    <row r="951" ht="14.25" customHeight="1">
      <c r="A951" s="7"/>
      <c r="B951" s="7"/>
      <c r="C951" s="7"/>
      <c r="D951" s="3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36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</row>
    <row r="952" ht="14.25" customHeight="1">
      <c r="A952" s="7"/>
      <c r="B952" s="7"/>
      <c r="C952" s="7"/>
      <c r="D952" s="3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36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</row>
    <row r="953" ht="14.25" customHeight="1">
      <c r="A953" s="7"/>
      <c r="B953" s="7"/>
      <c r="C953" s="7"/>
      <c r="D953" s="3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36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</row>
    <row r="954" ht="14.25" customHeight="1">
      <c r="A954" s="7"/>
      <c r="B954" s="7"/>
      <c r="C954" s="7"/>
      <c r="D954" s="3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36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</row>
    <row r="955" ht="14.25" customHeight="1">
      <c r="A955" s="7"/>
      <c r="B955" s="7"/>
      <c r="C955" s="7"/>
      <c r="D955" s="3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36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</row>
    <row r="956" ht="14.25" customHeight="1">
      <c r="A956" s="7"/>
      <c r="B956" s="7"/>
      <c r="C956" s="7"/>
      <c r="D956" s="3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36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</row>
    <row r="957" ht="14.25" customHeight="1">
      <c r="A957" s="7"/>
      <c r="B957" s="7"/>
      <c r="C957" s="7"/>
      <c r="D957" s="3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36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</row>
    <row r="958" ht="14.25" customHeight="1">
      <c r="A958" s="7"/>
      <c r="B958" s="7"/>
      <c r="C958" s="7"/>
      <c r="D958" s="3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36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</row>
    <row r="959" ht="14.25" customHeight="1">
      <c r="A959" s="7"/>
      <c r="B959" s="7"/>
      <c r="C959" s="7"/>
      <c r="D959" s="3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36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</row>
    <row r="960" ht="14.25" customHeight="1">
      <c r="A960" s="7"/>
      <c r="B960" s="7"/>
      <c r="C960" s="7"/>
      <c r="D960" s="3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36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</row>
    <row r="961" ht="14.25" customHeight="1">
      <c r="A961" s="7"/>
      <c r="B961" s="7"/>
      <c r="C961" s="7"/>
      <c r="D961" s="3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36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</row>
    <row r="962" ht="14.25" customHeight="1">
      <c r="A962" s="7"/>
      <c r="B962" s="7"/>
      <c r="C962" s="7"/>
      <c r="D962" s="3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36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</row>
    <row r="963" ht="14.25" customHeight="1">
      <c r="A963" s="7"/>
      <c r="B963" s="7"/>
      <c r="C963" s="7"/>
      <c r="D963" s="3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36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</row>
    <row r="964" ht="14.25" customHeight="1">
      <c r="A964" s="7"/>
      <c r="B964" s="7"/>
      <c r="C964" s="7"/>
      <c r="D964" s="3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36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</row>
    <row r="965" ht="14.25" customHeight="1">
      <c r="A965" s="7"/>
      <c r="B965" s="7"/>
      <c r="C965" s="7"/>
      <c r="D965" s="3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36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</row>
    <row r="966" ht="14.25" customHeight="1">
      <c r="A966" s="7"/>
      <c r="B966" s="7"/>
      <c r="C966" s="7"/>
      <c r="D966" s="3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36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</row>
    <row r="967" ht="14.25" customHeight="1">
      <c r="A967" s="7"/>
      <c r="B967" s="7"/>
      <c r="C967" s="7"/>
      <c r="D967" s="3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36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</row>
    <row r="968" ht="14.25" customHeight="1">
      <c r="A968" s="7"/>
      <c r="B968" s="7"/>
      <c r="C968" s="7"/>
      <c r="D968" s="3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36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</row>
    <row r="969" ht="14.25" customHeight="1">
      <c r="A969" s="7"/>
      <c r="B969" s="7"/>
      <c r="C969" s="7"/>
      <c r="D969" s="3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36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</row>
    <row r="970" ht="14.25" customHeight="1">
      <c r="A970" s="7"/>
      <c r="B970" s="7"/>
      <c r="C970" s="7"/>
      <c r="D970" s="3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36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</row>
    <row r="971" ht="14.25" customHeight="1">
      <c r="A971" s="7"/>
      <c r="B971" s="7"/>
      <c r="C971" s="7"/>
      <c r="D971" s="3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36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</row>
    <row r="972" ht="14.25" customHeight="1">
      <c r="A972" s="7"/>
      <c r="B972" s="7"/>
      <c r="C972" s="7"/>
      <c r="D972" s="3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36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</row>
    <row r="973" ht="14.25" customHeight="1">
      <c r="A973" s="7"/>
      <c r="B973" s="7"/>
      <c r="C973" s="7"/>
      <c r="D973" s="3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36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</row>
    <row r="974" ht="14.25" customHeight="1">
      <c r="A974" s="7"/>
      <c r="B974" s="7"/>
      <c r="C974" s="7"/>
      <c r="D974" s="3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36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</row>
    <row r="975" ht="14.25" customHeight="1">
      <c r="A975" s="7"/>
      <c r="B975" s="7"/>
      <c r="C975" s="7"/>
      <c r="D975" s="3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36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</row>
    <row r="976" ht="14.25" customHeight="1">
      <c r="A976" s="7"/>
      <c r="B976" s="7"/>
      <c r="C976" s="7"/>
      <c r="D976" s="3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36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</row>
    <row r="977" ht="14.25" customHeight="1">
      <c r="A977" s="7"/>
      <c r="B977" s="7"/>
      <c r="C977" s="7"/>
      <c r="D977" s="3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36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</row>
    <row r="978" ht="14.25" customHeight="1">
      <c r="A978" s="7"/>
      <c r="B978" s="7"/>
      <c r="C978" s="7"/>
      <c r="D978" s="3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36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</row>
    <row r="979" ht="14.25" customHeight="1">
      <c r="A979" s="7"/>
      <c r="B979" s="7"/>
      <c r="C979" s="7"/>
      <c r="D979" s="3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36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</row>
    <row r="980" ht="14.25" customHeight="1">
      <c r="A980" s="7"/>
      <c r="B980" s="7"/>
      <c r="C980" s="7"/>
      <c r="D980" s="3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36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</row>
    <row r="981" ht="14.25" customHeight="1">
      <c r="A981" s="7"/>
      <c r="B981" s="7"/>
      <c r="C981" s="7"/>
      <c r="D981" s="3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36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</row>
    <row r="982" ht="14.25" customHeight="1">
      <c r="A982" s="7"/>
      <c r="B982" s="7"/>
      <c r="C982" s="7"/>
      <c r="D982" s="3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36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</row>
    <row r="983" ht="14.25" customHeight="1">
      <c r="A983" s="7"/>
      <c r="B983" s="7"/>
      <c r="C983" s="7"/>
      <c r="D983" s="3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36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</row>
    <row r="984" ht="14.25" customHeight="1">
      <c r="A984" s="7"/>
      <c r="B984" s="7"/>
      <c r="C984" s="7"/>
      <c r="D984" s="3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36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</row>
    <row r="985" ht="14.25" customHeight="1">
      <c r="A985" s="7"/>
      <c r="B985" s="7"/>
      <c r="C985" s="7"/>
      <c r="D985" s="3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36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</row>
    <row r="986" ht="14.25" customHeight="1">
      <c r="A986" s="7"/>
      <c r="B986" s="7"/>
      <c r="C986" s="7"/>
      <c r="D986" s="3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36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</row>
    <row r="987" ht="14.25" customHeight="1">
      <c r="A987" s="7"/>
      <c r="B987" s="7"/>
      <c r="C987" s="7"/>
      <c r="D987" s="3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36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</row>
    <row r="988" ht="14.25" customHeight="1">
      <c r="A988" s="7"/>
      <c r="B988" s="7"/>
      <c r="C988" s="7"/>
      <c r="D988" s="3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36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</row>
    <row r="989" ht="14.25" customHeight="1">
      <c r="A989" s="7"/>
      <c r="B989" s="7"/>
      <c r="C989" s="7"/>
      <c r="D989" s="3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36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</row>
    <row r="990" ht="14.25" customHeight="1">
      <c r="A990" s="7"/>
      <c r="B990" s="7"/>
      <c r="C990" s="7"/>
      <c r="D990" s="3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36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</row>
    <row r="991" ht="14.25" customHeight="1">
      <c r="A991" s="7"/>
      <c r="B991" s="7"/>
      <c r="C991" s="7"/>
      <c r="D991" s="3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36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</row>
    <row r="992" ht="14.25" customHeight="1">
      <c r="A992" s="7"/>
      <c r="B992" s="7"/>
      <c r="C992" s="7"/>
      <c r="D992" s="3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36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</row>
    <row r="993" ht="14.25" customHeight="1">
      <c r="A993" s="7"/>
      <c r="B993" s="7"/>
      <c r="C993" s="7"/>
      <c r="D993" s="3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36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</row>
    <row r="994" ht="14.25" customHeight="1">
      <c r="A994" s="7"/>
      <c r="B994" s="7"/>
      <c r="C994" s="7"/>
      <c r="D994" s="3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36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</row>
    <row r="995" ht="14.25" customHeight="1">
      <c r="A995" s="7"/>
      <c r="B995" s="7"/>
      <c r="C995" s="7"/>
      <c r="D995" s="3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36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</row>
    <row r="996" ht="14.25" customHeight="1">
      <c r="A996" s="7"/>
      <c r="B996" s="7"/>
      <c r="C996" s="7"/>
      <c r="D996" s="3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36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</row>
    <row r="997" ht="14.25" customHeight="1">
      <c r="A997" s="7"/>
      <c r="B997" s="7"/>
      <c r="C997" s="7"/>
      <c r="D997" s="3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36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</row>
    <row r="998" ht="14.25" customHeight="1">
      <c r="A998" s="7"/>
      <c r="B998" s="7"/>
      <c r="C998" s="7"/>
      <c r="D998" s="3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36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</row>
    <row r="999" ht="14.25" customHeight="1">
      <c r="A999" s="7"/>
      <c r="B999" s="7"/>
      <c r="C999" s="7"/>
      <c r="D999" s="3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36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</row>
    <row r="1000" ht="14.25" customHeight="1">
      <c r="A1000" s="7"/>
      <c r="B1000" s="7"/>
      <c r="C1000" s="7"/>
      <c r="D1000" s="3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36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</row>
    <row r="1001" ht="14.25" customHeight="1">
      <c r="A1001" s="7"/>
      <c r="B1001" s="7"/>
      <c r="C1001" s="7"/>
      <c r="D1001" s="36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36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</row>
    <row r="1002" ht="14.25" customHeight="1">
      <c r="A1002" s="7"/>
      <c r="B1002" s="7"/>
      <c r="C1002" s="7"/>
      <c r="D1002" s="36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36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</row>
    <row r="1003" ht="14.25" customHeight="1">
      <c r="A1003" s="7"/>
      <c r="B1003" s="7"/>
      <c r="C1003" s="7"/>
      <c r="D1003" s="36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36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</row>
    <row r="1004" ht="14.25" customHeight="1">
      <c r="A1004" s="7"/>
      <c r="B1004" s="7"/>
      <c r="C1004" s="7"/>
      <c r="D1004" s="36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36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</row>
    <row r="1005" ht="14.25" customHeight="1">
      <c r="A1005" s="7"/>
      <c r="B1005" s="7"/>
      <c r="C1005" s="7"/>
      <c r="D1005" s="36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36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</row>
    <row r="1006" ht="14.25" customHeight="1">
      <c r="A1006" s="7"/>
      <c r="B1006" s="7"/>
      <c r="C1006" s="7"/>
      <c r="D1006" s="36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36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</row>
    <row r="1007" ht="14.25" customHeight="1">
      <c r="A1007" s="7"/>
      <c r="B1007" s="7"/>
      <c r="C1007" s="7"/>
      <c r="D1007" s="36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36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</row>
    <row r="1008" ht="14.25" customHeight="1">
      <c r="A1008" s="7"/>
      <c r="B1008" s="7"/>
      <c r="C1008" s="7"/>
      <c r="D1008" s="36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36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</row>
    <row r="1009" ht="14.25" customHeight="1">
      <c r="A1009" s="7"/>
      <c r="B1009" s="7"/>
      <c r="C1009" s="7"/>
      <c r="D1009" s="36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36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</row>
    <row r="1010" ht="14.25" customHeight="1">
      <c r="A1010" s="7"/>
      <c r="B1010" s="7"/>
      <c r="C1010" s="7"/>
      <c r="D1010" s="36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36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</row>
    <row r="1011" ht="14.25" customHeight="1">
      <c r="A1011" s="7"/>
      <c r="B1011" s="7"/>
      <c r="C1011" s="7"/>
      <c r="D1011" s="36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36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</row>
    <row r="1012" ht="14.25" customHeight="1">
      <c r="A1012" s="7"/>
      <c r="B1012" s="7"/>
      <c r="C1012" s="7"/>
      <c r="D1012" s="36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36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</row>
    <row r="1013" ht="14.25" customHeight="1">
      <c r="A1013" s="7"/>
      <c r="B1013" s="7"/>
      <c r="C1013" s="7"/>
      <c r="D1013" s="36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36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</row>
    <row r="1014" ht="14.25" customHeight="1">
      <c r="A1014" s="7"/>
      <c r="B1014" s="7"/>
      <c r="C1014" s="7"/>
      <c r="D1014" s="36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36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</row>
    <row r="1015" ht="14.25" customHeight="1">
      <c r="A1015" s="7"/>
      <c r="B1015" s="7"/>
      <c r="C1015" s="7"/>
      <c r="D1015" s="36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36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</row>
    <row r="1016" ht="14.25" customHeight="1">
      <c r="A1016" s="7"/>
      <c r="B1016" s="7"/>
      <c r="C1016" s="7"/>
      <c r="D1016" s="36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36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</row>
    <row r="1017" ht="14.25" customHeight="1">
      <c r="A1017" s="7"/>
      <c r="B1017" s="7"/>
      <c r="C1017" s="7"/>
      <c r="D1017" s="36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36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</row>
    <row r="1018" ht="14.25" customHeight="1">
      <c r="A1018" s="7"/>
      <c r="B1018" s="7"/>
      <c r="C1018" s="7"/>
      <c r="D1018" s="36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36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</row>
    <row r="1019" ht="14.25" customHeight="1">
      <c r="A1019" s="7"/>
      <c r="B1019" s="7"/>
      <c r="C1019" s="7"/>
      <c r="D1019" s="36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36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</row>
    <row r="1020" ht="14.25" customHeight="1">
      <c r="A1020" s="7"/>
      <c r="B1020" s="7"/>
      <c r="C1020" s="7"/>
      <c r="D1020" s="36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36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</row>
    <row r="1021" ht="14.25" customHeight="1">
      <c r="A1021" s="7"/>
      <c r="B1021" s="7"/>
      <c r="C1021" s="7"/>
      <c r="D1021" s="36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36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</row>
    <row r="1022" ht="14.25" customHeight="1">
      <c r="A1022" s="7"/>
      <c r="B1022" s="7"/>
      <c r="C1022" s="7"/>
      <c r="D1022" s="36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36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</row>
    <row r="1023" ht="14.25" customHeight="1">
      <c r="A1023" s="7"/>
      <c r="B1023" s="7"/>
      <c r="C1023" s="7"/>
      <c r="D1023" s="36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36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</row>
    <row r="1024" ht="14.25" customHeight="1">
      <c r="A1024" s="7"/>
      <c r="B1024" s="7"/>
      <c r="C1024" s="7"/>
      <c r="D1024" s="36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36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</row>
    <row r="1025" ht="14.25" customHeight="1">
      <c r="A1025" s="7"/>
      <c r="B1025" s="7"/>
      <c r="C1025" s="7"/>
      <c r="D1025" s="36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36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</row>
    <row r="1026" ht="14.25" customHeight="1">
      <c r="A1026" s="7"/>
      <c r="B1026" s="7"/>
      <c r="C1026" s="7"/>
      <c r="D1026" s="36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36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</row>
    <row r="1027" ht="14.25" customHeight="1">
      <c r="A1027" s="7"/>
      <c r="B1027" s="7"/>
      <c r="C1027" s="7"/>
      <c r="D1027" s="36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36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</row>
    <row r="1028" ht="14.25" customHeight="1">
      <c r="A1028" s="7"/>
      <c r="B1028" s="7"/>
      <c r="C1028" s="7"/>
      <c r="D1028" s="36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36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</row>
    <row r="1029" ht="14.25" customHeight="1">
      <c r="A1029" s="7"/>
      <c r="B1029" s="7"/>
      <c r="C1029" s="7"/>
      <c r="D1029" s="36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36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</row>
    <row r="1030" ht="14.25" customHeight="1">
      <c r="A1030" s="7"/>
      <c r="B1030" s="7"/>
      <c r="C1030" s="7"/>
      <c r="D1030" s="36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36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</row>
    <row r="1031" ht="14.25" customHeight="1">
      <c r="A1031" s="7"/>
      <c r="B1031" s="7"/>
      <c r="C1031" s="7"/>
      <c r="D1031" s="36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36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</row>
    <row r="1032" ht="14.25" customHeight="1">
      <c r="A1032" s="7"/>
      <c r="B1032" s="7"/>
      <c r="C1032" s="7"/>
      <c r="D1032" s="36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36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</row>
    <row r="1033" ht="14.25" customHeight="1">
      <c r="A1033" s="7"/>
      <c r="B1033" s="7"/>
      <c r="C1033" s="7"/>
      <c r="D1033" s="36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36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</row>
    <row r="1034" ht="14.25" customHeight="1">
      <c r="A1034" s="7"/>
      <c r="B1034" s="7"/>
      <c r="C1034" s="7"/>
      <c r="D1034" s="36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36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</row>
    <row r="1035" ht="14.25" customHeight="1">
      <c r="A1035" s="7"/>
      <c r="B1035" s="7"/>
      <c r="C1035" s="7"/>
      <c r="D1035" s="36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36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</row>
    <row r="1036" ht="14.25" customHeight="1">
      <c r="A1036" s="7"/>
      <c r="B1036" s="7"/>
      <c r="C1036" s="7"/>
      <c r="D1036" s="36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36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</row>
    <row r="1037" ht="14.25" customHeight="1">
      <c r="A1037" s="7"/>
      <c r="B1037" s="7"/>
      <c r="C1037" s="7"/>
      <c r="D1037" s="36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36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</row>
    <row r="1038" ht="14.25" customHeight="1">
      <c r="A1038" s="7"/>
      <c r="B1038" s="7"/>
      <c r="C1038" s="7"/>
      <c r="D1038" s="36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36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</row>
    <row r="1039" ht="14.25" customHeight="1">
      <c r="A1039" s="7"/>
      <c r="B1039" s="7"/>
      <c r="C1039" s="7"/>
      <c r="D1039" s="36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36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</row>
    <row r="1040" ht="14.25" customHeight="1">
      <c r="A1040" s="7"/>
      <c r="B1040" s="7"/>
      <c r="C1040" s="7"/>
      <c r="D1040" s="36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36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</row>
    <row r="1041" ht="14.25" customHeight="1">
      <c r="A1041" s="7"/>
      <c r="B1041" s="7"/>
      <c r="C1041" s="7"/>
      <c r="D1041" s="36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36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</row>
    <row r="1042" ht="14.25" customHeight="1">
      <c r="A1042" s="7"/>
      <c r="B1042" s="7"/>
      <c r="C1042" s="7"/>
      <c r="D1042" s="36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36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</row>
    <row r="1043" ht="14.25" customHeight="1">
      <c r="A1043" s="7"/>
      <c r="B1043" s="7"/>
      <c r="C1043" s="7"/>
      <c r="D1043" s="36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36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</row>
    <row r="1044" ht="14.25" customHeight="1">
      <c r="A1044" s="7"/>
      <c r="B1044" s="7"/>
      <c r="C1044" s="7"/>
      <c r="D1044" s="36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36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</row>
    <row r="1045" ht="14.25" customHeight="1">
      <c r="A1045" s="7"/>
      <c r="B1045" s="7"/>
      <c r="C1045" s="7"/>
      <c r="D1045" s="36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36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</row>
    <row r="1046" ht="14.25" customHeight="1">
      <c r="A1046" s="7"/>
      <c r="B1046" s="7"/>
      <c r="C1046" s="7"/>
      <c r="D1046" s="36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36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</row>
    <row r="1047" ht="14.25" customHeight="1">
      <c r="A1047" s="7"/>
      <c r="B1047" s="7"/>
      <c r="C1047" s="7"/>
      <c r="D1047" s="36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36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</row>
    <row r="1048" ht="14.25" customHeight="1">
      <c r="A1048" s="7"/>
      <c r="B1048" s="7"/>
      <c r="C1048" s="7"/>
      <c r="D1048" s="36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36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</row>
    <row r="1049" ht="14.25" customHeight="1">
      <c r="A1049" s="7"/>
      <c r="B1049" s="7"/>
      <c r="C1049" s="7"/>
      <c r="D1049" s="36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36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</row>
    <row r="1050" ht="14.25" customHeight="1">
      <c r="A1050" s="7"/>
      <c r="B1050" s="7"/>
      <c r="C1050" s="7"/>
      <c r="D1050" s="36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36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</row>
    <row r="1051" ht="14.25" customHeight="1">
      <c r="A1051" s="7"/>
      <c r="B1051" s="7"/>
      <c r="C1051" s="7"/>
      <c r="D1051" s="36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36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</row>
    <row r="1052" ht="14.25" customHeight="1">
      <c r="A1052" s="7"/>
      <c r="B1052" s="7"/>
      <c r="C1052" s="7"/>
      <c r="D1052" s="36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36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</row>
    <row r="1053" ht="14.25" customHeight="1">
      <c r="A1053" s="7"/>
      <c r="B1053" s="7"/>
      <c r="C1053" s="7"/>
      <c r="D1053" s="36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36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</row>
    <row r="1054" ht="14.25" customHeight="1">
      <c r="A1054" s="7"/>
      <c r="B1054" s="7"/>
      <c r="C1054" s="7"/>
      <c r="D1054" s="36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36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</row>
    <row r="1055" ht="14.25" customHeight="1">
      <c r="A1055" s="7"/>
      <c r="B1055" s="7"/>
      <c r="C1055" s="7"/>
      <c r="D1055" s="36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36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</row>
    <row r="1056" ht="14.25" customHeight="1">
      <c r="A1056" s="7"/>
      <c r="B1056" s="7"/>
      <c r="C1056" s="7"/>
      <c r="D1056" s="36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36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</row>
    <row r="1057" ht="14.25" customHeight="1">
      <c r="A1057" s="7"/>
      <c r="B1057" s="7"/>
      <c r="C1057" s="7"/>
      <c r="D1057" s="36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36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</row>
    <row r="1058" ht="14.25" customHeight="1">
      <c r="A1058" s="7"/>
      <c r="B1058" s="7"/>
      <c r="C1058" s="7"/>
      <c r="D1058" s="36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36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</row>
    <row r="1059" ht="14.25" customHeight="1">
      <c r="A1059" s="7"/>
      <c r="B1059" s="7"/>
      <c r="C1059" s="7"/>
      <c r="D1059" s="36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36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</row>
    <row r="1060" ht="14.25" customHeight="1">
      <c r="A1060" s="7"/>
      <c r="B1060" s="7"/>
      <c r="C1060" s="7"/>
      <c r="D1060" s="36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36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</row>
    <row r="1061" ht="14.25" customHeight="1">
      <c r="A1061" s="7"/>
      <c r="B1061" s="7"/>
      <c r="C1061" s="7"/>
      <c r="D1061" s="36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36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</row>
    <row r="1062" ht="14.25" customHeight="1">
      <c r="A1062" s="7"/>
      <c r="B1062" s="7"/>
      <c r="C1062" s="7"/>
      <c r="D1062" s="36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36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</row>
    <row r="1063" ht="14.25" customHeight="1">
      <c r="A1063" s="7"/>
      <c r="B1063" s="7"/>
      <c r="C1063" s="7"/>
      <c r="D1063" s="36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36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</row>
    <row r="1064" ht="14.25" customHeight="1">
      <c r="A1064" s="7"/>
      <c r="B1064" s="7"/>
      <c r="C1064" s="7"/>
      <c r="D1064" s="36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36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</row>
    <row r="1065" ht="14.25" customHeight="1">
      <c r="A1065" s="7"/>
      <c r="B1065" s="7"/>
      <c r="C1065" s="7"/>
      <c r="D1065" s="36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36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</row>
    <row r="1066" ht="14.25" customHeight="1">
      <c r="A1066" s="7"/>
      <c r="B1066" s="7"/>
      <c r="C1066" s="7"/>
      <c r="D1066" s="36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36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</row>
    <row r="1067" ht="14.25" customHeight="1">
      <c r="A1067" s="7"/>
      <c r="B1067" s="7"/>
      <c r="C1067" s="7"/>
      <c r="D1067" s="36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36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</row>
    <row r="1068" ht="14.25" customHeight="1">
      <c r="A1068" s="7"/>
      <c r="B1068" s="7"/>
      <c r="C1068" s="7"/>
      <c r="D1068" s="36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36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</row>
    <row r="1069" ht="14.25" customHeight="1">
      <c r="A1069" s="7"/>
      <c r="B1069" s="7"/>
      <c r="C1069" s="7"/>
      <c r="D1069" s="36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36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</row>
    <row r="1070" ht="14.25" customHeight="1">
      <c r="A1070" s="7"/>
      <c r="B1070" s="7"/>
      <c r="C1070" s="7"/>
      <c r="D1070" s="36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36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</row>
    <row r="1071" ht="14.25" customHeight="1">
      <c r="A1071" s="7"/>
      <c r="B1071" s="7"/>
      <c r="C1071" s="7"/>
      <c r="D1071" s="36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36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</row>
    <row r="1072" ht="14.25" customHeight="1">
      <c r="A1072" s="7"/>
      <c r="B1072" s="7"/>
      <c r="C1072" s="7"/>
      <c r="D1072" s="36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36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</row>
    <row r="1073" ht="14.25" customHeight="1">
      <c r="A1073" s="7"/>
      <c r="B1073" s="7"/>
      <c r="C1073" s="7"/>
      <c r="D1073" s="36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36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</row>
    <row r="1074" ht="14.25" customHeight="1">
      <c r="A1074" s="7"/>
      <c r="B1074" s="7"/>
      <c r="C1074" s="7"/>
      <c r="D1074" s="36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36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</row>
    <row r="1075" ht="14.25" customHeight="1">
      <c r="A1075" s="7"/>
      <c r="B1075" s="7"/>
      <c r="C1075" s="7"/>
      <c r="D1075" s="36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36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</row>
    <row r="1076" ht="14.25" customHeight="1">
      <c r="A1076" s="7"/>
      <c r="B1076" s="7"/>
      <c r="C1076" s="7"/>
      <c r="D1076" s="36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36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</row>
    <row r="1077" ht="14.25" customHeight="1">
      <c r="A1077" s="7"/>
      <c r="B1077" s="7"/>
      <c r="C1077" s="7"/>
      <c r="D1077" s="36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36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</row>
  </sheetData>
  <mergeCells count="20">
    <mergeCell ref="B1:BE1"/>
    <mergeCell ref="B2:BD2"/>
    <mergeCell ref="A4:A11"/>
    <mergeCell ref="A78:E78"/>
    <mergeCell ref="F78:BE78"/>
    <mergeCell ref="A84:E84"/>
    <mergeCell ref="F84:BE84"/>
    <mergeCell ref="D97:E97"/>
    <mergeCell ref="D98:E98"/>
    <mergeCell ref="E101:H101"/>
    <mergeCell ref="B103:B104"/>
    <mergeCell ref="C103:D104"/>
    <mergeCell ref="B105:C115"/>
    <mergeCell ref="A79:A83"/>
    <mergeCell ref="A85:A86"/>
    <mergeCell ref="A89:A90"/>
    <mergeCell ref="A91:A92"/>
    <mergeCell ref="D94:E94"/>
    <mergeCell ref="D95:E95"/>
    <mergeCell ref="D96:E96"/>
  </mergeCells>
  <printOptions gridLines="1"/>
  <pageMargins bottom="1.0" footer="0.0" header="0.0" left="1.0" right="1.0" top="1.0"/>
  <pageSetup cellComments="atEnd" orientation="landscape" paperHeight="33.11023622047244in" paperWidth="33.46456692913386i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2022-04-20T18:22:52Z</dcterms:created>
  <dc:creator>Oberdan Nogueira</dc:creator>
</cp:coreProperties>
</file>