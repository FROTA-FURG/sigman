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6fb29b75440261b/Área de Trabalho/FROTA/PLANO 52/"/>
    </mc:Choice>
  </mc:AlternateContent>
  <xr:revisionPtr revIDLastSave="4" documentId="11_90B05289EF88751D42337DEB340B836B22659C3E" xr6:coauthVersionLast="47" xr6:coauthVersionMax="47" xr10:uidLastSave="{99B5542F-BB39-44C9-9DE7-F574F19861D6}"/>
  <bookViews>
    <workbookView xWindow="28680" yWindow="-120" windowWidth="29040" windowHeight="15840" xr2:uid="{00000000-000D-0000-FFFF-FFFF00000000}"/>
  </bookViews>
  <sheets>
    <sheet name="Plano de 52 Semanas AS " sheetId="1" r:id="rId1"/>
    <sheet name="Página1" sheetId="2" r:id="rId2"/>
    <sheet name="Plano de Lubrificação " sheetId="3" r:id="rId3"/>
  </sheets>
  <externalReferences>
    <externalReference r:id="rId4"/>
  </externalReferences>
  <definedNames>
    <definedName name="DATA10">[1]Planos!#REF!</definedName>
    <definedName name="DATA9">[1]Planos!#REF!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u0Qv6C86oRcuuDvy508xZJRNJPT0WK9YZJrvFlCzk4="/>
    </ext>
  </extLst>
</workbook>
</file>

<file path=xl/calcChain.xml><?xml version="1.0" encoding="utf-8"?>
<calcChain xmlns="http://schemas.openxmlformats.org/spreadsheetml/2006/main">
  <c r="BF156" i="1" l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BG158" i="1" l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BG156" i="1"/>
</calcChain>
</file>

<file path=xl/sharedStrings.xml><?xml version="1.0" encoding="utf-8"?>
<sst xmlns="http://schemas.openxmlformats.org/spreadsheetml/2006/main" count="1124" uniqueCount="362">
  <si>
    <t>Bom dia, tudo bem? Algum retorno?</t>
  </si>
  <si>
    <t>PLANO DE MANUTENÇÃO PREVENTIVA - 52 SEMANAS (ISO 8601)</t>
  </si>
  <si>
    <t>TAG</t>
  </si>
  <si>
    <t>Descrição do eqto</t>
  </si>
  <si>
    <t>Atividade</t>
  </si>
  <si>
    <t>Periodicidade</t>
  </si>
  <si>
    <t xml:space="preserve">Nº de Pontos </t>
  </si>
  <si>
    <t xml:space="preserve">01/01 à 04/01 </t>
  </si>
  <si>
    <t>05/01 à 11/01</t>
  </si>
  <si>
    <t>12/01 à 18/01</t>
  </si>
  <si>
    <t>19/01 à 25/01</t>
  </si>
  <si>
    <t>26/01 à 01/02</t>
  </si>
  <si>
    <t>02/02 à 08/02</t>
  </si>
  <si>
    <t>09/02 à 15/02</t>
  </si>
  <si>
    <t>16/02 à 22/02</t>
  </si>
  <si>
    <t>23/02 à 01/03</t>
  </si>
  <si>
    <t>02/03 à 08/03</t>
  </si>
  <si>
    <t>09/03 à 15/03</t>
  </si>
  <si>
    <t>16/03 à 22/03</t>
  </si>
  <si>
    <t>23/03 à 29/04</t>
  </si>
  <si>
    <t>30/03 à 05/04</t>
  </si>
  <si>
    <t>06/04 à 12/04</t>
  </si>
  <si>
    <t>13/04 à 19/04</t>
  </si>
  <si>
    <t>20/04 à 26/04</t>
  </si>
  <si>
    <t>27/04 à 03/05</t>
  </si>
  <si>
    <t>04/05 à 10/05</t>
  </si>
  <si>
    <t>11/05 à 17/05</t>
  </si>
  <si>
    <t>18/05 à 24/05</t>
  </si>
  <si>
    <t>25/05 à 31/05</t>
  </si>
  <si>
    <t>01/06 à 07/06</t>
  </si>
  <si>
    <t>08/06 à 14/06</t>
  </si>
  <si>
    <t>15/06 à 21/06</t>
  </si>
  <si>
    <t>22/06 à 28/06</t>
  </si>
  <si>
    <t>29/06 à 05/07</t>
  </si>
  <si>
    <t>06/07 à 12/07</t>
  </si>
  <si>
    <t>13/07 à 19/07</t>
  </si>
  <si>
    <t>20/07 à 26/07</t>
  </si>
  <si>
    <t>27/07 à 02/08</t>
  </si>
  <si>
    <t>03/08 à 09/08</t>
  </si>
  <si>
    <t>10/08 à 16/08</t>
  </si>
  <si>
    <t>17/08 à 23/08</t>
  </si>
  <si>
    <t>24/08 à 30/08</t>
  </si>
  <si>
    <t>31/08 à 06/09</t>
  </si>
  <si>
    <t>07/09 à 13/09</t>
  </si>
  <si>
    <t>14/09 à 20/09</t>
  </si>
  <si>
    <t>21/09 à 27/10</t>
  </si>
  <si>
    <t>28/09 à 04/10</t>
  </si>
  <si>
    <t>05/10 à 11/10</t>
  </si>
  <si>
    <t>12/10 à 18/10</t>
  </si>
  <si>
    <t>19/10 à 25/10</t>
  </si>
  <si>
    <t>26/10 à 01/11</t>
  </si>
  <si>
    <t>02/11 à 08/11</t>
  </si>
  <si>
    <t>09/11 à 15/11</t>
  </si>
  <si>
    <t>16/11 à 22/11</t>
  </si>
  <si>
    <t>23/11 à 29/11</t>
  </si>
  <si>
    <t>31/11 à 06/12</t>
  </si>
  <si>
    <t>07/12 à 13/12</t>
  </si>
  <si>
    <t>14/12 à 20/12</t>
  </si>
  <si>
    <t>21/12 à 27/12</t>
  </si>
  <si>
    <t>Motor de Combustão Principal MWM TD 440-8</t>
  </si>
  <si>
    <t>AS01-SPP-MCP01</t>
  </si>
  <si>
    <t>Controlar a folga das válvulas</t>
  </si>
  <si>
    <t>Anual</t>
  </si>
  <si>
    <t>-</t>
  </si>
  <si>
    <t>Limpar os bicos de admissão no regulador de velocidade</t>
  </si>
  <si>
    <t>Semestral</t>
  </si>
  <si>
    <t>Limpar e controlar as bombas de óleo e de água</t>
  </si>
  <si>
    <t>Trimestral</t>
  </si>
  <si>
    <t>Controlar o funcionamento e examinar o grau de sujeira e de desgaste de todas as válvulas, separadores de água, filtros e cilindros do telecomando pneumático, e substituir as peças danificadas</t>
  </si>
  <si>
    <t>Controlar as rodas dentadas do acionamento de comando</t>
  </si>
  <si>
    <t>Limpar as válvulas de partida, as válvulas de gaveta e a válvula de partida principal, assim como os tubos com videoscopia</t>
  </si>
  <si>
    <t>Limpeza das válvulas e entrada de ar e superalimentação com videoscopia</t>
  </si>
  <si>
    <t>Limpar e examinar o garrafão de ar comprimido.</t>
  </si>
  <si>
    <t>Limpar os tubos do escapamento e de ar de superalimentação.</t>
  </si>
  <si>
    <t>Inspeção de verificação de ruido</t>
  </si>
  <si>
    <t>Inspeção de termografia (Cabeçote, Bloco e turbina)</t>
  </si>
  <si>
    <t>Verificação do torque de aperto (85,3 Nm) nos parafusos do volante traseiro.</t>
  </si>
  <si>
    <t>MCA01</t>
  </si>
  <si>
    <t>AS01-SMP-MCA01</t>
  </si>
  <si>
    <t>Motor de Combustão Auxiliar V12 - MWM - D232</t>
  </si>
  <si>
    <t>Verificar a fixação do amortecedor de vibração (4.5 - 5.0 Kgf.m)</t>
  </si>
  <si>
    <t>Examinar as escovas do motor de arranque e alternador (Verificar com o Gabriel)</t>
  </si>
  <si>
    <t>Testar os bicos injetores (verificar se possivel anualmente)</t>
  </si>
  <si>
    <t>Controlar a pressão de compressão (verificar se possivel anualmente)</t>
  </si>
  <si>
    <t xml:space="preserve"> troca  dos rolamentos da bomba d'agua e da polia esticadora.</t>
  </si>
  <si>
    <t>Lavar o sistema interno de arrefecimento (motor e radiador)</t>
  </si>
  <si>
    <t>Testar válvula termostática</t>
  </si>
  <si>
    <t>MCA02</t>
  </si>
  <si>
    <t>AS01-SMP-MCA02</t>
  </si>
  <si>
    <t>Motor de Combustão Auxiliar - MWM - TD225.6 - MCA 2</t>
  </si>
  <si>
    <t>Verificação das correias(trooca anual e inspeção quinzenal checklist caderno)</t>
  </si>
  <si>
    <t>Verificar a folga das válvulas  (verificar a disponibilidade anualmente)</t>
  </si>
  <si>
    <t>Verificar as escovas do motor de partida e alternador</t>
  </si>
  <si>
    <t>biAnual</t>
  </si>
  <si>
    <t xml:space="preserve">Testar os bicos injetores </t>
  </si>
  <si>
    <t>Controlar a pressão de contrapressão</t>
  </si>
  <si>
    <t>Controlar os rolamentos da bomba d'agua</t>
  </si>
  <si>
    <t>Testar a válvula termostática</t>
  </si>
  <si>
    <t>MCA03</t>
  </si>
  <si>
    <t>AS01-SMP-MCA03</t>
  </si>
  <si>
    <t>Motor de Combustão Auxiliar - MWM - TD225.6 - MCA 3</t>
  </si>
  <si>
    <t>Verificar as escorvas do motor de partida e alternador</t>
  </si>
  <si>
    <t>Testar e limpar os bicos injetores</t>
  </si>
  <si>
    <t>Controlar a pressão de compressão</t>
  </si>
  <si>
    <t>Testar os instrumentos de controle</t>
  </si>
  <si>
    <t>MCA04</t>
  </si>
  <si>
    <t>AS01-SMP-MCA04</t>
  </si>
  <si>
    <t>Motor auxiliar de Emergência Scania DSI11 - MCA 4</t>
  </si>
  <si>
    <t>Limpeza do sistema de refrigeração (limpeza(quimica ou vareteamento), teste de estanquiedade)</t>
  </si>
  <si>
    <t>Subtituição da válvula de ventilação fechada do cárter(pdf Manual)</t>
  </si>
  <si>
    <t>Verificação do injetor</t>
  </si>
  <si>
    <t>AS01-SMP-COM01</t>
  </si>
  <si>
    <t>Compressor de Ar - Atlas Copco - LT3-30BM</t>
  </si>
  <si>
    <t>Substituir a válvula de retenção ou dispositivo de descarga</t>
  </si>
  <si>
    <t>Substituir os discos das válvulas</t>
  </si>
  <si>
    <t>AS01-SMP-COM02</t>
  </si>
  <si>
    <t>Compressor de Ar - Motomil - CMAV - 20/200</t>
  </si>
  <si>
    <t>Verificar tensionamento e alinhamento da correia</t>
  </si>
  <si>
    <t>AS01-SPP-CRE01</t>
  </si>
  <si>
    <t>Caixa Redutora MCP (Caixa reversora) - Reintjes</t>
  </si>
  <si>
    <t>Coletar amostra para análise de óleo</t>
  </si>
  <si>
    <t>Semestra</t>
  </si>
  <si>
    <t>AS01-SMP-CRE02</t>
  </si>
  <si>
    <t>Caixa Redutor MCA01 -</t>
  </si>
  <si>
    <t>AS01-SMC-CRE03</t>
  </si>
  <si>
    <t>Caixa Redutora Molinete - Marine</t>
  </si>
  <si>
    <t>AS01-SHI-UHI01</t>
  </si>
  <si>
    <t xml:space="preserve">Unidade Hidráulica 01 (Oceaniográfico) </t>
  </si>
  <si>
    <t>AS01-SHI-UHI02</t>
  </si>
  <si>
    <t>Unidade Hidráulica 02 (Grande) -</t>
  </si>
  <si>
    <t>AS01-SHI-UEH03</t>
  </si>
  <si>
    <t xml:space="preserve">Unidade Hidráulica 03 (Pequeno) - </t>
  </si>
  <si>
    <t>AS01-SHI-UEH01</t>
  </si>
  <si>
    <t>Unidade Eletro Hidráulica (Leme) - Racine</t>
  </si>
  <si>
    <t>AS01-SMC-UHI03</t>
  </si>
  <si>
    <t>Unidade Hidráulica (Munk) - Madal / SA</t>
  </si>
  <si>
    <t xml:space="preserve"> AS01-SMC-GMU01</t>
  </si>
  <si>
    <t xml:space="preserve">Guindaste Munck </t>
  </si>
  <si>
    <t>Lubrificação do Guindaste Munck DESCRIÇÂO</t>
  </si>
  <si>
    <t>Engraixar a Articulação coluna e braço anterior</t>
  </si>
  <si>
    <t>Bimestral</t>
  </si>
  <si>
    <t>Limpar e Engraixar o fundo cilindro hidráulico inclinação</t>
  </si>
  <si>
    <t>Limpar e Engraixar o fundo cilindro hidráulico elevação</t>
  </si>
  <si>
    <t>Limpar e Engraixar a cabeça cilindro hidráulico inclinção</t>
  </si>
  <si>
    <t>Engraixar a articulação braço anterior e posterior</t>
  </si>
  <si>
    <t>Limpar e Engraixar o Intervalo braço posterior e lança I ( graxeiras)</t>
  </si>
  <si>
    <t>Limpar e Engraixar o Intervalo braço posterior e lança I</t>
  </si>
  <si>
    <t>AS01-SMC-GMU01</t>
  </si>
  <si>
    <t>Limpar e Engraixar o Intervalo lança I e lança II</t>
  </si>
  <si>
    <t>Limpar e Engraixar o Intervalo lança II e lança III</t>
  </si>
  <si>
    <t xml:space="preserve">AS01-SMC-GMU01 </t>
  </si>
  <si>
    <t>Limpar e Engraixar o Intervalo Lança III e lança IV</t>
  </si>
  <si>
    <t>Engraixar a Articulação do gancho</t>
  </si>
  <si>
    <t>Limpar e Engraixar a Cabeça cilindro hidráulico elevação</t>
  </si>
  <si>
    <t>Substituir o Óleo hidráulico (coluna de giro)</t>
  </si>
  <si>
    <t>Substituir o Filtro de retorno (Elemento)</t>
  </si>
  <si>
    <t>Substituir o Filtro de sucção</t>
  </si>
  <si>
    <t>Substituir o Filtro de ar</t>
  </si>
  <si>
    <t>Engraxar a Haste do cilindro hidráulico</t>
  </si>
  <si>
    <t>Engraxar  a Bucha inferior da estrutura</t>
  </si>
  <si>
    <t>Engraxar a Bucha superior da estrutura</t>
  </si>
  <si>
    <t>Substituir o Óleo hidráulico</t>
  </si>
  <si>
    <t>AS01-SMC-AFR01</t>
  </si>
  <si>
    <t>A-Frame</t>
  </si>
  <si>
    <t>Lubrificação a graxa DESCRIÇÃO</t>
  </si>
  <si>
    <t>Cabos de Aço</t>
  </si>
  <si>
    <t>Mensal</t>
  </si>
  <si>
    <t>Pinos</t>
  </si>
  <si>
    <t>Semanal</t>
  </si>
  <si>
    <t>Articulações</t>
  </si>
  <si>
    <t>Roldanas Do Turco</t>
  </si>
  <si>
    <t>Polias</t>
  </si>
  <si>
    <t>Mancais do eixo</t>
  </si>
  <si>
    <t>Cilindros Hidraulicos</t>
  </si>
  <si>
    <t>Bucha</t>
  </si>
  <si>
    <t>Filtros</t>
  </si>
  <si>
    <t>AS01-SMC-GCE01</t>
  </si>
  <si>
    <t xml:space="preserve">Guincho Central   </t>
  </si>
  <si>
    <t>Lubrificação a graxa do Guincho Central DESCRIÇÃO</t>
  </si>
  <si>
    <t>Lubrifique os rolamentos de suporte do tambor. Lubrifique o bico de lubrificação localizado no interior do gabinete fechado, adjacente ao redutor de engrenagens.</t>
  </si>
  <si>
    <t>Verifique/encha o nível de óleo da engrenagem de acionamento do guincho. Troque o óleo da engrenagem a cada 6 meses ou 2500 horas de operação, o que ocorrer primeiro.</t>
  </si>
  <si>
    <t>Inspecione o aperto dos parafusos nas placas do deck do quadro do guincho.</t>
  </si>
  <si>
    <t>Lubrifique os tubos guia do Molinete.</t>
  </si>
  <si>
    <t>Lubrifique o parafuso ACME do Molinete.</t>
  </si>
  <si>
    <t>Lubrifique os rolamentos da roldana do Molinete.</t>
  </si>
  <si>
    <t>Lubrifique os rolamentos de suporte do parafuso ACME do Molinete.</t>
  </si>
  <si>
    <t>Verifique o braço seguidor do Molinete quanto ao desgaste.</t>
  </si>
  <si>
    <t>Verifique a aperto dos parafusos nas placas do quadro do Molinete.</t>
  </si>
  <si>
    <t>Verifique o nível do fluido hidráulico e os indicadores dos filtros.</t>
  </si>
  <si>
    <t>Diario</t>
  </si>
  <si>
    <t>Limpe/troque os filtros hidráulicos.</t>
  </si>
  <si>
    <t>Verifique os filtros hidráulicos.</t>
  </si>
  <si>
    <t>Lubrifique os rolamentos do motor elétrico do lubrificador ( Após 9500h)</t>
  </si>
  <si>
    <t>Troque o óleo hidráulico e os filtros de sucção.</t>
  </si>
  <si>
    <t>AS01-SMC-GBB</t>
  </si>
  <si>
    <t>Guincho de Pesca de BOMBORDO</t>
  </si>
  <si>
    <t>Lubrificação do Guincho de Pesca BOMBORDO DESCRIÇÃO</t>
  </si>
  <si>
    <t>Tambor de enrolamento (rolo de rede)</t>
  </si>
  <si>
    <t>Rolamentos</t>
  </si>
  <si>
    <t>Mancais deslizantes</t>
  </si>
  <si>
    <t>Cabos de aço</t>
  </si>
  <si>
    <t>Espalhador</t>
  </si>
  <si>
    <t>Trimestre</t>
  </si>
  <si>
    <t>Cilindro Hidraulico</t>
  </si>
  <si>
    <t>Filtro</t>
  </si>
  <si>
    <t>Olhal</t>
  </si>
  <si>
    <t>Eixo do rolo de rede</t>
  </si>
  <si>
    <t>AS01-SMC-GBE</t>
  </si>
  <si>
    <t xml:space="preserve">Guincho de Pesca de BORESTE  </t>
  </si>
  <si>
    <t>Lubrificação do Guincho de Pesca BORESTE  DESCRIÇÃO</t>
  </si>
  <si>
    <t>AS01-SMC-GOC01</t>
  </si>
  <si>
    <t xml:space="preserve">Guincho Oceanografico </t>
  </si>
  <si>
    <t>Lubrificação do Guincho Oceanografico  DESCRIÇÃO</t>
  </si>
  <si>
    <t>Eixo do Tambor</t>
  </si>
  <si>
    <t>Mancais</t>
  </si>
  <si>
    <t>Cabo de aço</t>
  </si>
  <si>
    <t>Mecanismo de Frenagem</t>
  </si>
  <si>
    <t>AS01-SMC-GMO01</t>
  </si>
  <si>
    <t>Guincho Molinete</t>
  </si>
  <si>
    <t>Lubrificação do Guincho Molinete DESCRIÇÃO</t>
  </si>
  <si>
    <t>Eixos</t>
  </si>
  <si>
    <t>Corrente</t>
  </si>
  <si>
    <t>Eixo do Volante</t>
  </si>
  <si>
    <t>Hh semanal Necessário Total</t>
  </si>
  <si>
    <t>Hh semanal disponível (equipe)</t>
  </si>
  <si>
    <t>Hh semanal disp. Preventiva (equipe)</t>
  </si>
  <si>
    <t>Hh semanal disp. tripulação</t>
  </si>
  <si>
    <t>Hh semanal em Backlog</t>
  </si>
  <si>
    <t>Legenda</t>
  </si>
  <si>
    <t>Quinzenal</t>
  </si>
  <si>
    <t>MATERIAL DE CONSUMO</t>
  </si>
  <si>
    <t>Equipamento</t>
  </si>
  <si>
    <t>Tipo</t>
  </si>
  <si>
    <t>Marca</t>
  </si>
  <si>
    <t>Referência</t>
  </si>
  <si>
    <t>filtro de combustível</t>
  </si>
  <si>
    <t>Feltro</t>
  </si>
  <si>
    <t>MANN</t>
  </si>
  <si>
    <t>P1018/1</t>
  </si>
  <si>
    <t>filtro de ar</t>
  </si>
  <si>
    <t>Malha de CU 2,3kg</t>
  </si>
  <si>
    <t>filtro de óleo lubrificante</t>
  </si>
  <si>
    <t>Papel</t>
  </si>
  <si>
    <t>Unifilter</t>
  </si>
  <si>
    <t>UH318P</t>
  </si>
  <si>
    <t>Tecfil</t>
  </si>
  <si>
    <t>FC165</t>
  </si>
  <si>
    <t>UA23440P</t>
  </si>
  <si>
    <t>Purolator</t>
  </si>
  <si>
    <t>PERI-208</t>
  </si>
  <si>
    <t xml:space="preserve">Nº de pontos </t>
  </si>
  <si>
    <t xml:space="preserve">02/01 à 08/01 </t>
  </si>
  <si>
    <t>09/01 à 15/01</t>
  </si>
  <si>
    <t>16/01 à 22/01</t>
  </si>
  <si>
    <t>23/01 à 29/01</t>
  </si>
  <si>
    <t>30/01 à 05/02</t>
  </si>
  <si>
    <t>06/02 à 12/02</t>
  </si>
  <si>
    <t>13/02 à 19/02</t>
  </si>
  <si>
    <t>20/02 à 26/02</t>
  </si>
  <si>
    <t>27/02 à 05/03</t>
  </si>
  <si>
    <t>06/03 à 12/03</t>
  </si>
  <si>
    <t>13/03 à 19/03</t>
  </si>
  <si>
    <t>20/03 à 26/03</t>
  </si>
  <si>
    <t>27/03 à 02/04</t>
  </si>
  <si>
    <t>03/04 à 09/04</t>
  </si>
  <si>
    <t>10/04 à 16/04</t>
  </si>
  <si>
    <t>17/04 à 23/04</t>
  </si>
  <si>
    <t>24/04 à 30/04</t>
  </si>
  <si>
    <t>01/05 à 07/05</t>
  </si>
  <si>
    <t>08/05 à 14/05</t>
  </si>
  <si>
    <t>15/05 à 21/05</t>
  </si>
  <si>
    <t>22/05 à 28/05</t>
  </si>
  <si>
    <t>29/05 à 04/06</t>
  </si>
  <si>
    <t>05/06 à 11/06</t>
  </si>
  <si>
    <t>12/06 à 18/06</t>
  </si>
  <si>
    <t>19/06 à 25/06</t>
  </si>
  <si>
    <t>26/06 à 02/07</t>
  </si>
  <si>
    <t>03/07 à 09/07</t>
  </si>
  <si>
    <t>10/07 à 16/07</t>
  </si>
  <si>
    <t>17/07 à 23/07</t>
  </si>
  <si>
    <t>24/07 à 30/07</t>
  </si>
  <si>
    <t>31/07 à 06/08</t>
  </si>
  <si>
    <t>07/08 à 13/08</t>
  </si>
  <si>
    <t>14/08 à 20/08</t>
  </si>
  <si>
    <t>21/08 à 27/08</t>
  </si>
  <si>
    <t>28/08 à 03/09</t>
  </si>
  <si>
    <t>04/09 à 10/09</t>
  </si>
  <si>
    <t>11/09 à 17/09</t>
  </si>
  <si>
    <t>18/09 à 24/09</t>
  </si>
  <si>
    <t>25/09 à 01/10</t>
  </si>
  <si>
    <t>02/10 à 08/10</t>
  </si>
  <si>
    <t>09/10 à 15/10</t>
  </si>
  <si>
    <t>16/10 à 22/10</t>
  </si>
  <si>
    <t>23/10 à 29/10</t>
  </si>
  <si>
    <t>30/10 à 05/11</t>
  </si>
  <si>
    <t>06/11 à 12/11</t>
  </si>
  <si>
    <t>13/11 à 19/11</t>
  </si>
  <si>
    <t>20/11 à 26/11</t>
  </si>
  <si>
    <t>27/11 à 03/12</t>
  </si>
  <si>
    <t>04/12 à 10/12</t>
  </si>
  <si>
    <t>11/12 à 17/12</t>
  </si>
  <si>
    <t>18/12 à 24/12</t>
  </si>
  <si>
    <t>25/12 à 31/12</t>
  </si>
  <si>
    <t>A-Frame (AS01-SMC-AFR01)</t>
  </si>
  <si>
    <t>Limpar/Engraxar</t>
  </si>
  <si>
    <t>Engraxar</t>
  </si>
  <si>
    <t>Limpar/Substituir</t>
  </si>
  <si>
    <t>Guincho de Pesca Bombordo (AS01-SMC-GBB)</t>
  </si>
  <si>
    <t>Guincho Oceanográfico (AS01-SMC-GOC01)</t>
  </si>
  <si>
    <t>Substituir</t>
  </si>
  <si>
    <t>Motor de combustão Principal (AS01-SPP-MCP01)</t>
  </si>
  <si>
    <t>Pinos mestres</t>
  </si>
  <si>
    <t>Árvores de acionamento das sapatas do freio dianteiro e traseiro</t>
  </si>
  <si>
    <t>Pinos dos feixes de molas da suspensão dianteira e traseira</t>
  </si>
  <si>
    <t>Árvores de transmissão</t>
  </si>
  <si>
    <t>Mancal intermediário das árvores de transmissão</t>
  </si>
  <si>
    <t>Articulações dos balancins da suspensão de balancins</t>
  </si>
  <si>
    <t>Junta homocinética do eixo dianteiro motriz</t>
  </si>
  <si>
    <t>Articulações e tirantes do sistema de aceleração e freio-motor</t>
  </si>
  <si>
    <t>Dobradiças</t>
  </si>
  <si>
    <t>Fechaduras</t>
  </si>
  <si>
    <t>Alavancas</t>
  </si>
  <si>
    <t>Terminais</t>
  </si>
  <si>
    <t>Cabos</t>
  </si>
  <si>
    <t>Cubos das rodas do eixo dianteiro/eixo traseiro auxiliar</t>
  </si>
  <si>
    <t>Rolamentos das rodas do eixo traseiro auxiliar</t>
  </si>
  <si>
    <t>Cubos das rodas do eixo traseiro principal</t>
  </si>
  <si>
    <t>Rolamentos das rodas do eixo traseiro principal</t>
  </si>
  <si>
    <t>Guincho de Pesca Boreste (AS01-SMC-GBE)</t>
  </si>
  <si>
    <t>Motor Guincho MWM-D232</t>
  </si>
  <si>
    <t>Guindaste Munck (AS01-SMC-GMU01)</t>
  </si>
  <si>
    <t>Articulação coluna e braço anterior</t>
  </si>
  <si>
    <t>Fundo cilindro hidráulico inclinação</t>
  </si>
  <si>
    <t>Fundo cilindro hidráulico elevação</t>
  </si>
  <si>
    <t>Cabeça cilindro hidráulico inclinção</t>
  </si>
  <si>
    <t>Articulação braço anterior e posterior</t>
  </si>
  <si>
    <t>Intervalo braço posterior e lança I ( graxeiras)</t>
  </si>
  <si>
    <t>Intervalo braço posterior e lança I</t>
  </si>
  <si>
    <t>Intervalo lança I e lança II</t>
  </si>
  <si>
    <t>Intervalo lança II e lança III</t>
  </si>
  <si>
    <t>Intervalo Lança III e lança IV</t>
  </si>
  <si>
    <t>Articulação do gancho</t>
  </si>
  <si>
    <t>Cabeça cilindro hidráulico elevação</t>
  </si>
  <si>
    <t>Óleo hidráulico (coluna de giro)</t>
  </si>
  <si>
    <t>Filtro de retorno (Elemento)</t>
  </si>
  <si>
    <t>Filtro de sucção</t>
  </si>
  <si>
    <t>Filtro de ar</t>
  </si>
  <si>
    <t xml:space="preserve">Haste do cilindro hidráulico </t>
  </si>
  <si>
    <t>Bucha inferior da estrutura</t>
  </si>
  <si>
    <t>Bucha superior da estrutura</t>
  </si>
  <si>
    <t>Óleo hidráulico</t>
  </si>
  <si>
    <t>Guincho Central (AS01-SMC-GCE01)</t>
  </si>
  <si>
    <t>Limpar Engraxar</t>
  </si>
  <si>
    <t>Verificar</t>
  </si>
  <si>
    <t>Limpar Lubrificar</t>
  </si>
  <si>
    <t>Lubrifique os rolamentos do motor elétrico do lubrificador</t>
  </si>
  <si>
    <t>Limpar Substituir</t>
  </si>
  <si>
    <t>Dependendo da utilização destes componentes, engraxar com maior frequencia.</t>
  </si>
  <si>
    <t>Guincho Molinete (AS01-SMC-GMO01)</t>
  </si>
  <si>
    <t>Limpar /Engraxar</t>
  </si>
  <si>
    <t>Susbstituir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</si>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</sst>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scheme val="minor"/>
    </font>
    <font>
      <sz val="9"/>
      <color theme="1"/>
      <name val="Calibri"/>
    </font>
    <font>
      <sz val="12"/>
      <color theme="1"/>
      <name val="Calibri"/>
    </font>
    <font>
      <b/>
      <sz val="12"/>
      <color rgb="FFFFFFFF"/>
      <name val="Calibri"/>
    </font>
    <font>
      <sz val="11"/>
      <name val="Calibri"/>
    </font>
    <font>
      <b/>
      <sz val="12"/>
      <color theme="1"/>
      <name val="Calibri"/>
    </font>
    <font>
      <b/>
      <sz val="17"/>
      <color theme="1"/>
      <name val="Calibri"/>
    </font>
    <font>
      <sz val="11"/>
      <color theme="1"/>
      <name val="Calibri"/>
    </font>
    <font>
      <sz val="12"/>
      <color theme="0"/>
      <name val="Calibri"/>
    </font>
    <font>
      <b/>
      <sz val="13"/>
      <color theme="1"/>
      <name val="Calibri"/>
    </font>
    <font>
      <b/>
      <sz val="18"/>
      <color theme="1"/>
      <name val="Calibri"/>
    </font>
    <font>
      <sz val="13"/>
      <color theme="1"/>
      <name val="Calibri"/>
    </font>
    <font>
      <b/>
      <sz val="12"/>
      <color theme="0"/>
      <name val="Calibri"/>
    </font>
    <font>
      <sz val="12"/>
      <color rgb="FFFFFFFF"/>
      <name val="Calibri"/>
    </font>
    <font>
      <sz val="10"/>
      <color theme="1"/>
      <name val="Arial"/>
    </font>
    <font>
      <sz val="11"/>
      <color theme="1"/>
      <name val="Arial"/>
    </font>
    <font>
      <sz val="12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990000"/>
        <bgColor rgb="FF990000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0000FF"/>
        <bgColor rgb="FF0000FF"/>
      </patternFill>
    </fill>
    <fill>
      <patternFill patternType="solid">
        <fgColor rgb="FFBF9000"/>
        <bgColor rgb="FFBF9000"/>
      </patternFill>
    </fill>
  </fills>
  <borders count="30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/>
    </xf>
    <xf numFmtId="0" fontId="2" fillId="3" borderId="5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 vertical="center" wrapText="1"/>
    </xf>
    <xf numFmtId="0" fontId="7" fillId="3" borderId="12" xfId="0" applyFont="1" applyFill="1" applyBorder="1"/>
    <xf numFmtId="0" fontId="7" fillId="0" borderId="11" xfId="0" applyFont="1" applyBorder="1"/>
    <xf numFmtId="0" fontId="2" fillId="6" borderId="13" xfId="0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 textRotation="90" wrapText="1"/>
    </xf>
    <xf numFmtId="0" fontId="5" fillId="12" borderId="5" xfId="0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0" fontId="2" fillId="13" borderId="5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9" fillId="12" borderId="5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64" fontId="8" fillId="2" borderId="13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20" xfId="0" applyNumberFormat="1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16" borderId="2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14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textRotation="90"/>
    </xf>
    <xf numFmtId="0" fontId="2" fillId="3" borderId="21" xfId="0" applyFont="1" applyFill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7" fillId="17" borderId="26" xfId="0" applyFont="1" applyFill="1" applyBorder="1"/>
    <xf numFmtId="0" fontId="7" fillId="17" borderId="27" xfId="0" applyFont="1" applyFill="1" applyBorder="1"/>
    <xf numFmtId="0" fontId="7" fillId="15" borderId="5" xfId="0" applyFont="1" applyFill="1" applyBorder="1"/>
    <xf numFmtId="0" fontId="7" fillId="7" borderId="5" xfId="0" applyFont="1" applyFill="1" applyBorder="1"/>
    <xf numFmtId="0" fontId="7" fillId="6" borderId="5" xfId="0" applyFont="1" applyFill="1" applyBorder="1"/>
    <xf numFmtId="0" fontId="7" fillId="17" borderId="5" xfId="0" applyFont="1" applyFill="1" applyBorder="1"/>
    <xf numFmtId="0" fontId="15" fillId="0" borderId="28" xfId="0" applyFont="1" applyBorder="1" applyAlignment="1">
      <alignment horizontal="center" wrapText="1"/>
    </xf>
    <xf numFmtId="0" fontId="16" fillId="0" borderId="28" xfId="0" applyFont="1" applyBorder="1" applyAlignment="1">
      <alignment horizontal="center" wrapText="1"/>
    </xf>
    <xf numFmtId="0" fontId="16" fillId="0" borderId="29" xfId="0" applyFont="1" applyBorder="1" applyAlignment="1">
      <alignment horizontal="center" wrapText="1"/>
    </xf>
    <xf numFmtId="0" fontId="16" fillId="0" borderId="28" xfId="0" applyFont="1" applyBorder="1" applyAlignment="1">
      <alignment horizontal="center"/>
    </xf>
    <xf numFmtId="14" fontId="12" fillId="2" borderId="19" xfId="0" applyNumberFormat="1" applyFont="1" applyFill="1" applyBorder="1" applyAlignment="1">
      <alignment horizontal="center" vertical="center" wrapText="1"/>
    </xf>
    <xf numFmtId="0" fontId="4" fillId="0" borderId="3" xfId="0" applyFont="1" applyBorder="1"/>
    <xf numFmtId="14" fontId="5" fillId="0" borderId="0" xfId="0" applyNumberFormat="1" applyFont="1" applyAlignment="1">
      <alignment horizontal="center" vertical="center"/>
    </xf>
    <xf numFmtId="0" fontId="0" fillId="0" borderId="0" xfId="0"/>
    <xf numFmtId="0" fontId="6" fillId="11" borderId="16" xfId="0" applyFont="1" applyFill="1" applyBorder="1" applyAlignment="1">
      <alignment horizontal="center" vertical="center" textRotation="90" wrapText="1"/>
    </xf>
    <xf numFmtId="0" fontId="4" fillId="0" borderId="8" xfId="0" applyFont="1" applyBorder="1"/>
    <xf numFmtId="0" fontId="4" fillId="0" borderId="10" xfId="0" applyFont="1" applyBorder="1"/>
    <xf numFmtId="0" fontId="6" fillId="11" borderId="6" xfId="0" applyFont="1" applyFill="1" applyBorder="1" applyAlignment="1">
      <alignment horizontal="center" vertical="center" textRotation="90" wrapText="1"/>
    </xf>
    <xf numFmtId="0" fontId="10" fillId="11" borderId="6" xfId="0" applyFont="1" applyFill="1" applyBorder="1" applyAlignment="1">
      <alignment horizontal="center" vertical="center" textRotation="90" wrapText="1"/>
    </xf>
    <xf numFmtId="14" fontId="12" fillId="2" borderId="17" xfId="0" applyNumberFormat="1" applyFont="1" applyFill="1" applyBorder="1" applyAlignment="1">
      <alignment horizontal="center" vertical="center" wrapText="1"/>
    </xf>
    <xf numFmtId="0" fontId="4" fillId="0" borderId="18" xfId="0" applyFont="1" applyBorder="1"/>
    <xf numFmtId="0" fontId="6" fillId="4" borderId="6" xfId="0" applyFont="1" applyFill="1" applyBorder="1" applyAlignment="1">
      <alignment horizontal="center" vertical="center" textRotation="90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9" xfId="0" applyFont="1" applyBorder="1"/>
    <xf numFmtId="0" fontId="7" fillId="0" borderId="0" xfId="0" applyFont="1"/>
    <xf numFmtId="0" fontId="3" fillId="2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rd/OneDrive/Documentos/FURG/FURG/Consultorias/Pyl/Arauco/Ponta%20Grossa/C&#243;pia%20de%20Planos%20Arauco%20Ponta%20Grossa%20-%20R3.xlsx" TargetMode="External"/><Relationship Id="rId1" Type="http://schemas.openxmlformats.org/officeDocument/2006/relationships/externalLinkPath" Target="/Users/oberd/OneDrive/Documentos/FURG/FURG/Consultorias/Pyl/Arauco/Ponta%20Grossa/C&#243;pia%20de%20Planos%20Arauco%20Ponta%20Grossa%20-%20R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os"/>
      <sheetName val="Base SC - FF"/>
      <sheetName val="Base ordens (planos)"/>
      <sheetName val="Base planos FIORI"/>
      <sheetName val="Dinâmica"/>
      <sheetName val="Matriz SC"/>
      <sheetName val="Matriz FF"/>
      <sheetName val="Matriz A B 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BM1137"/>
  <sheetViews>
    <sheetView showGridLines="0" tabSelected="1" topLeftCell="F1" zoomScale="85" zoomScaleNormal="85" workbookViewId="0">
      <selection activeCell="AS47" sqref="AS47"/>
    </sheetView>
  </sheetViews>
  <sheetFormatPr defaultColWidth="14.42578125" defaultRowHeight="15" customHeight="1" x14ac:dyDescent="0.25"/>
  <cols>
    <col min="1" max="2" width="8.7109375" customWidth="1"/>
    <col min="3" max="3" width="32.140625" customWidth="1"/>
    <col min="4" max="4" width="58.85546875" customWidth="1"/>
    <col min="5" max="5" width="86.7109375" customWidth="1"/>
    <col min="6" max="6" width="15.5703125" customWidth="1"/>
    <col min="7" max="7" width="11" customWidth="1"/>
    <col min="8" max="59" width="5.140625" customWidth="1"/>
    <col min="60" max="65" width="4.7109375" customWidth="1"/>
  </cols>
  <sheetData>
    <row r="1" spans="1:65" ht="14.25" customHeight="1" x14ac:dyDescent="0.25">
      <c r="A1" s="1" t="s">
        <v>0</v>
      </c>
      <c r="B1" s="1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spans="1:65" ht="14.25" customHeight="1" x14ac:dyDescent="0.25">
      <c r="A2" s="1"/>
      <c r="B2" s="1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spans="1:65" ht="26.25" customHeight="1" x14ac:dyDescent="0.25">
      <c r="A3" s="1"/>
      <c r="B3" s="96" t="s">
        <v>1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84"/>
      <c r="BG3" s="4"/>
      <c r="BH3" s="5"/>
      <c r="BI3" s="5"/>
      <c r="BJ3" s="5"/>
      <c r="BK3" s="5"/>
      <c r="BL3" s="5"/>
      <c r="BM3" s="5"/>
    </row>
    <row r="4" spans="1:65" ht="79.5" customHeight="1" x14ac:dyDescent="0.25">
      <c r="A4" s="2"/>
      <c r="B4" s="6"/>
      <c r="C4" s="6" t="s">
        <v>2</v>
      </c>
      <c r="D4" s="6" t="s">
        <v>3</v>
      </c>
      <c r="E4" s="7" t="s">
        <v>4</v>
      </c>
      <c r="F4" s="8" t="s">
        <v>5</v>
      </c>
      <c r="G4" s="9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  <c r="AG4" s="9" t="s">
        <v>32</v>
      </c>
      <c r="AH4" s="9" t="s">
        <v>33</v>
      </c>
      <c r="AI4" s="9" t="s">
        <v>34</v>
      </c>
      <c r="AJ4" s="9" t="s">
        <v>35</v>
      </c>
      <c r="AK4" s="9" t="s">
        <v>36</v>
      </c>
      <c r="AL4" s="9" t="s">
        <v>37</v>
      </c>
      <c r="AM4" s="9" t="s">
        <v>38</v>
      </c>
      <c r="AN4" s="9" t="s">
        <v>39</v>
      </c>
      <c r="AO4" s="9" t="s">
        <v>40</v>
      </c>
      <c r="AP4" s="9" t="s">
        <v>41</v>
      </c>
      <c r="AQ4" s="9" t="s">
        <v>42</v>
      </c>
      <c r="AR4" s="9" t="s">
        <v>43</v>
      </c>
      <c r="AS4" s="9" t="s">
        <v>44</v>
      </c>
      <c r="AT4" s="9" t="s">
        <v>45</v>
      </c>
      <c r="AU4" s="9" t="s">
        <v>46</v>
      </c>
      <c r="AV4" s="9" t="s">
        <v>47</v>
      </c>
      <c r="AW4" s="9" t="s">
        <v>48</v>
      </c>
      <c r="AX4" s="9" t="s">
        <v>49</v>
      </c>
      <c r="AY4" s="9" t="s">
        <v>50</v>
      </c>
      <c r="AZ4" s="9" t="s">
        <v>51</v>
      </c>
      <c r="BA4" s="9" t="s">
        <v>52</v>
      </c>
      <c r="BB4" s="9" t="s">
        <v>53</v>
      </c>
      <c r="BC4" s="9" t="s">
        <v>54</v>
      </c>
      <c r="BD4" s="9" t="s">
        <v>55</v>
      </c>
      <c r="BE4" s="9" t="s">
        <v>56</v>
      </c>
      <c r="BF4" s="9" t="s">
        <v>57</v>
      </c>
      <c r="BG4" s="9" t="s">
        <v>58</v>
      </c>
      <c r="BH4" s="11"/>
      <c r="BI4" s="11"/>
      <c r="BJ4" s="11"/>
      <c r="BK4" s="11"/>
      <c r="BL4" s="11"/>
      <c r="BM4" s="11"/>
    </row>
    <row r="5" spans="1:65" ht="14.25" customHeight="1" x14ac:dyDescent="0.25">
      <c r="A5" s="2"/>
      <c r="B5" s="6"/>
      <c r="C5" s="6"/>
      <c r="D5" s="6"/>
      <c r="E5" s="12"/>
      <c r="F5" s="8"/>
      <c r="G5" s="6"/>
      <c r="H5" s="6">
        <v>1</v>
      </c>
      <c r="I5" s="6">
        <v>2</v>
      </c>
      <c r="J5" s="6">
        <v>3</v>
      </c>
      <c r="K5" s="6">
        <v>4</v>
      </c>
      <c r="L5" s="6">
        <v>5</v>
      </c>
      <c r="M5" s="6">
        <v>6</v>
      </c>
      <c r="N5" s="6">
        <v>7</v>
      </c>
      <c r="O5" s="6">
        <v>8</v>
      </c>
      <c r="P5" s="6">
        <v>9</v>
      </c>
      <c r="Q5" s="6">
        <v>10</v>
      </c>
      <c r="R5" s="6">
        <v>11</v>
      </c>
      <c r="S5" s="6">
        <v>12</v>
      </c>
      <c r="T5" s="6">
        <v>13</v>
      </c>
      <c r="U5" s="13">
        <v>14</v>
      </c>
      <c r="V5" s="6">
        <v>15</v>
      </c>
      <c r="W5" s="6">
        <v>16</v>
      </c>
      <c r="X5" s="6">
        <v>17</v>
      </c>
      <c r="Y5" s="6">
        <v>18</v>
      </c>
      <c r="Z5" s="6">
        <v>19</v>
      </c>
      <c r="AA5" s="6">
        <v>20</v>
      </c>
      <c r="AB5" s="6">
        <v>21</v>
      </c>
      <c r="AC5" s="6">
        <v>22</v>
      </c>
      <c r="AD5" s="6">
        <v>23</v>
      </c>
      <c r="AE5" s="6">
        <v>24</v>
      </c>
      <c r="AF5" s="6">
        <v>25</v>
      </c>
      <c r="AG5" s="6">
        <v>26</v>
      </c>
      <c r="AH5" s="6">
        <v>27</v>
      </c>
      <c r="AI5" s="6">
        <v>28</v>
      </c>
      <c r="AJ5" s="6">
        <v>29</v>
      </c>
      <c r="AK5" s="6">
        <v>30</v>
      </c>
      <c r="AL5" s="6">
        <v>31</v>
      </c>
      <c r="AM5" s="6">
        <v>32</v>
      </c>
      <c r="AN5" s="6">
        <v>33</v>
      </c>
      <c r="AO5" s="6">
        <v>34</v>
      </c>
      <c r="AP5" s="6">
        <v>35</v>
      </c>
      <c r="AQ5" s="6">
        <v>36</v>
      </c>
      <c r="AR5" s="6">
        <v>37</v>
      </c>
      <c r="AS5" s="6">
        <v>38</v>
      </c>
      <c r="AT5" s="6">
        <v>39</v>
      </c>
      <c r="AU5" s="6">
        <v>40</v>
      </c>
      <c r="AV5" s="6">
        <v>41</v>
      </c>
      <c r="AW5" s="6">
        <v>42</v>
      </c>
      <c r="AX5" s="6">
        <v>43</v>
      </c>
      <c r="AY5" s="6">
        <v>44</v>
      </c>
      <c r="AZ5" s="6">
        <v>45</v>
      </c>
      <c r="BA5" s="6">
        <v>46</v>
      </c>
      <c r="BB5" s="6">
        <v>47</v>
      </c>
      <c r="BC5" s="6">
        <v>48</v>
      </c>
      <c r="BD5" s="6">
        <v>49</v>
      </c>
      <c r="BE5" s="6">
        <v>50</v>
      </c>
      <c r="BF5" s="6">
        <v>51</v>
      </c>
      <c r="BG5" s="6">
        <v>52</v>
      </c>
      <c r="BH5" s="2"/>
      <c r="BI5" s="2"/>
      <c r="BJ5" s="2"/>
      <c r="BK5" s="2"/>
      <c r="BL5" s="2"/>
      <c r="BM5" s="2"/>
    </row>
    <row r="6" spans="1:65" ht="22.5" customHeight="1" x14ac:dyDescent="0.25">
      <c r="A6" s="2"/>
      <c r="B6" s="94" t="s">
        <v>59</v>
      </c>
      <c r="C6" s="13" t="s">
        <v>60</v>
      </c>
      <c r="D6" s="13" t="s">
        <v>59</v>
      </c>
      <c r="E6" s="13" t="s">
        <v>61</v>
      </c>
      <c r="F6" s="14" t="s">
        <v>62</v>
      </c>
      <c r="G6" s="6" t="s">
        <v>63</v>
      </c>
      <c r="H6" s="6"/>
      <c r="I6" s="14"/>
      <c r="J6" s="14"/>
      <c r="K6" s="14"/>
      <c r="L6" s="14"/>
      <c r="M6" s="6"/>
      <c r="N6" s="14"/>
      <c r="O6" s="14"/>
      <c r="P6" s="14"/>
      <c r="Q6" s="14"/>
      <c r="R6" s="14"/>
      <c r="S6" s="14"/>
      <c r="T6" s="14"/>
      <c r="U6" s="15"/>
      <c r="V6" s="14"/>
      <c r="W6" s="14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16">
        <v>2</v>
      </c>
      <c r="BD6" s="6"/>
      <c r="BE6" s="6"/>
      <c r="BF6" s="6"/>
      <c r="BG6" s="6"/>
      <c r="BH6" s="2"/>
      <c r="BI6" s="2"/>
      <c r="BJ6" s="2"/>
      <c r="BK6" s="2"/>
      <c r="BL6" s="2"/>
      <c r="BM6" s="2"/>
    </row>
    <row r="7" spans="1:65" ht="22.5" customHeight="1" x14ac:dyDescent="0.25">
      <c r="A7" s="17"/>
      <c r="B7" s="88"/>
      <c r="C7" s="13" t="s">
        <v>60</v>
      </c>
      <c r="D7" s="13" t="s">
        <v>59</v>
      </c>
      <c r="E7" s="13" t="s">
        <v>64</v>
      </c>
      <c r="F7" s="14" t="s">
        <v>65</v>
      </c>
      <c r="G7" s="6" t="s">
        <v>63</v>
      </c>
      <c r="H7" s="6"/>
      <c r="I7" s="14"/>
      <c r="J7" s="14"/>
      <c r="K7" s="14"/>
      <c r="L7" s="14"/>
      <c r="M7" s="6"/>
      <c r="N7" s="18">
        <v>16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18">
        <v>16</v>
      </c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19"/>
      <c r="BI7" s="19"/>
      <c r="BJ7" s="19"/>
      <c r="BK7" s="19"/>
      <c r="BL7" s="19"/>
      <c r="BM7" s="19"/>
    </row>
    <row r="8" spans="1:65" ht="22.5" customHeight="1" x14ac:dyDescent="0.25">
      <c r="A8" s="2"/>
      <c r="B8" s="88"/>
      <c r="C8" s="13" t="s">
        <v>60</v>
      </c>
      <c r="D8" s="13" t="s">
        <v>59</v>
      </c>
      <c r="E8" s="13" t="s">
        <v>66</v>
      </c>
      <c r="F8" s="14" t="s">
        <v>67</v>
      </c>
      <c r="G8" s="6" t="s">
        <v>63</v>
      </c>
      <c r="H8" s="6"/>
      <c r="I8" s="14"/>
      <c r="J8" s="14"/>
      <c r="K8" s="14"/>
      <c r="L8" s="14"/>
      <c r="M8" s="6"/>
      <c r="N8" s="20">
        <v>4</v>
      </c>
      <c r="O8" s="6"/>
      <c r="P8" s="6"/>
      <c r="Q8" s="14"/>
      <c r="R8" s="14"/>
      <c r="S8" s="14"/>
      <c r="T8" s="14"/>
      <c r="U8" s="20">
        <v>4</v>
      </c>
      <c r="V8" s="14"/>
      <c r="W8" s="14"/>
      <c r="X8" s="14"/>
      <c r="Y8" s="14"/>
      <c r="Z8" s="14"/>
      <c r="AA8" s="6"/>
      <c r="AB8" s="6"/>
      <c r="AC8" s="14"/>
      <c r="AD8" s="14"/>
      <c r="AE8" s="14"/>
      <c r="AF8" s="14"/>
      <c r="AG8" s="14"/>
      <c r="AH8" s="20">
        <v>4</v>
      </c>
      <c r="AI8" s="14"/>
      <c r="AJ8" s="6"/>
      <c r="AK8" s="6"/>
      <c r="AL8" s="6"/>
      <c r="AM8" s="6"/>
      <c r="AN8" s="6"/>
      <c r="AO8" s="6"/>
      <c r="AP8" s="6"/>
      <c r="AQ8" s="20">
        <v>4</v>
      </c>
      <c r="AR8" s="14"/>
      <c r="AS8" s="6"/>
      <c r="AT8" s="6"/>
      <c r="AU8" s="6"/>
      <c r="AV8" s="6"/>
      <c r="AW8" s="20">
        <v>4</v>
      </c>
      <c r="AX8" s="6"/>
      <c r="AY8" s="6"/>
      <c r="AZ8" s="6"/>
      <c r="BA8" s="6"/>
      <c r="BB8" s="6"/>
      <c r="BC8" s="20">
        <v>4</v>
      </c>
      <c r="BD8" s="14"/>
      <c r="BE8" s="6"/>
      <c r="BF8" s="6"/>
      <c r="BG8" s="6"/>
      <c r="BH8" s="2"/>
      <c r="BI8" s="2"/>
      <c r="BJ8" s="2"/>
      <c r="BK8" s="2"/>
      <c r="BL8" s="2"/>
      <c r="BM8" s="2"/>
    </row>
    <row r="9" spans="1:65" ht="52.5" customHeight="1" x14ac:dyDescent="0.25">
      <c r="A9" s="2"/>
      <c r="B9" s="88"/>
      <c r="C9" s="13" t="s">
        <v>60</v>
      </c>
      <c r="D9" s="21" t="s">
        <v>59</v>
      </c>
      <c r="E9" s="13" t="s">
        <v>68</v>
      </c>
      <c r="F9" s="14" t="s">
        <v>67</v>
      </c>
      <c r="G9" s="6" t="s">
        <v>63</v>
      </c>
      <c r="H9" s="6"/>
      <c r="I9" s="14"/>
      <c r="J9" s="14"/>
      <c r="K9" s="14"/>
      <c r="L9" s="14"/>
      <c r="M9" s="6"/>
      <c r="N9" s="20">
        <v>2</v>
      </c>
      <c r="O9" s="6"/>
      <c r="P9" s="6"/>
      <c r="Q9" s="14"/>
      <c r="R9" s="14"/>
      <c r="S9" s="14"/>
      <c r="T9" s="14"/>
      <c r="U9" s="20">
        <v>2</v>
      </c>
      <c r="V9" s="14"/>
      <c r="W9" s="14"/>
      <c r="X9" s="14"/>
      <c r="Y9" s="14"/>
      <c r="Z9" s="14"/>
      <c r="AA9" s="6"/>
      <c r="AB9" s="6"/>
      <c r="AC9" s="14"/>
      <c r="AD9" s="14"/>
      <c r="AE9" s="14"/>
      <c r="AF9" s="14"/>
      <c r="AG9" s="14"/>
      <c r="AH9" s="20">
        <v>2</v>
      </c>
      <c r="AI9" s="14"/>
      <c r="AJ9" s="6"/>
      <c r="AK9" s="6"/>
      <c r="AL9" s="6"/>
      <c r="AM9" s="6"/>
      <c r="AN9" s="6"/>
      <c r="AO9" s="6"/>
      <c r="AP9" s="6"/>
      <c r="AQ9" s="20">
        <v>2</v>
      </c>
      <c r="AR9" s="14"/>
      <c r="AS9" s="6"/>
      <c r="AT9" s="6"/>
      <c r="AU9" s="6"/>
      <c r="AV9" s="6"/>
      <c r="AW9" s="20">
        <v>2</v>
      </c>
      <c r="AX9" s="6"/>
      <c r="AY9" s="6"/>
      <c r="AZ9" s="6"/>
      <c r="BA9" s="6"/>
      <c r="BB9" s="6"/>
      <c r="BC9" s="20">
        <v>2</v>
      </c>
      <c r="BD9" s="14"/>
      <c r="BE9" s="6"/>
      <c r="BF9" s="6"/>
      <c r="BG9" s="6"/>
      <c r="BH9" s="2"/>
      <c r="BI9" s="2"/>
      <c r="BJ9" s="2"/>
      <c r="BK9" s="2"/>
      <c r="BL9" s="2"/>
      <c r="BM9" s="2"/>
    </row>
    <row r="10" spans="1:65" ht="22.5" customHeight="1" x14ac:dyDescent="0.25">
      <c r="A10" s="2"/>
      <c r="B10" s="88"/>
      <c r="C10" s="13" t="s">
        <v>60</v>
      </c>
      <c r="D10" s="13" t="s">
        <v>59</v>
      </c>
      <c r="E10" s="13" t="s">
        <v>69</v>
      </c>
      <c r="F10" s="14" t="s">
        <v>62</v>
      </c>
      <c r="G10" s="6" t="s">
        <v>63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3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16">
        <v>0.5</v>
      </c>
      <c r="BD10" s="6"/>
      <c r="BE10" s="6"/>
      <c r="BF10" s="6"/>
      <c r="BG10" s="6"/>
      <c r="BH10" s="2"/>
      <c r="BI10" s="2"/>
      <c r="BJ10" s="2"/>
      <c r="BK10" s="2"/>
      <c r="BL10" s="2"/>
      <c r="BM10" s="2"/>
    </row>
    <row r="11" spans="1:65" ht="31.5" x14ac:dyDescent="0.25">
      <c r="A11" s="2"/>
      <c r="B11" s="88"/>
      <c r="C11" s="13" t="s">
        <v>60</v>
      </c>
      <c r="D11" s="13" t="s">
        <v>59</v>
      </c>
      <c r="E11" s="13" t="s">
        <v>70</v>
      </c>
      <c r="F11" s="14" t="s">
        <v>62</v>
      </c>
      <c r="G11" s="6" t="s">
        <v>63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3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16">
        <v>1</v>
      </c>
      <c r="BD11" s="6"/>
      <c r="BE11" s="6"/>
      <c r="BF11" s="6"/>
      <c r="BG11" s="6"/>
      <c r="BH11" s="2"/>
      <c r="BI11" s="2"/>
      <c r="BJ11" s="2"/>
      <c r="BK11" s="2"/>
      <c r="BL11" s="2"/>
      <c r="BM11" s="2"/>
    </row>
    <row r="12" spans="1:65" ht="25.5" customHeight="1" x14ac:dyDescent="0.25">
      <c r="A12" s="2"/>
      <c r="B12" s="88"/>
      <c r="C12" s="13" t="s">
        <v>60</v>
      </c>
      <c r="D12" s="13" t="s">
        <v>59</v>
      </c>
      <c r="E12" s="13" t="s">
        <v>71</v>
      </c>
      <c r="F12" s="14" t="s">
        <v>62</v>
      </c>
      <c r="G12" s="6" t="s">
        <v>63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3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16">
        <v>1</v>
      </c>
      <c r="BD12" s="6"/>
      <c r="BE12" s="6"/>
      <c r="BF12" s="6"/>
      <c r="BG12" s="6"/>
      <c r="BH12" s="2"/>
      <c r="BI12" s="2"/>
      <c r="BJ12" s="2"/>
      <c r="BK12" s="2"/>
      <c r="BL12" s="2"/>
      <c r="BM12" s="2"/>
    </row>
    <row r="13" spans="1:65" ht="22.5" customHeight="1" x14ac:dyDescent="0.25">
      <c r="A13" s="2"/>
      <c r="B13" s="88"/>
      <c r="C13" s="13" t="s">
        <v>60</v>
      </c>
      <c r="D13" s="13" t="s">
        <v>59</v>
      </c>
      <c r="E13" s="13" t="s">
        <v>72</v>
      </c>
      <c r="F13" s="14" t="s">
        <v>62</v>
      </c>
      <c r="G13" s="6" t="s">
        <v>63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3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16">
        <v>0.5</v>
      </c>
      <c r="BD13" s="6"/>
      <c r="BE13" s="6"/>
      <c r="BF13" s="6"/>
      <c r="BG13" s="6"/>
      <c r="BH13" s="2"/>
      <c r="BI13" s="2"/>
      <c r="BJ13" s="2"/>
      <c r="BK13" s="2"/>
      <c r="BL13" s="2"/>
      <c r="BM13" s="2"/>
    </row>
    <row r="14" spans="1:65" ht="22.5" customHeight="1" x14ac:dyDescent="0.25">
      <c r="A14" s="2"/>
      <c r="B14" s="88"/>
      <c r="C14" s="13" t="s">
        <v>60</v>
      </c>
      <c r="D14" s="13" t="s">
        <v>59</v>
      </c>
      <c r="E14" s="13" t="s">
        <v>73</v>
      </c>
      <c r="F14" s="14" t="s">
        <v>62</v>
      </c>
      <c r="G14" s="6" t="s">
        <v>63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16">
        <v>8</v>
      </c>
      <c r="BC14" s="6"/>
      <c r="BD14" s="6"/>
      <c r="BE14" s="6"/>
      <c r="BF14" s="6"/>
      <c r="BG14" s="6"/>
      <c r="BH14" s="2"/>
      <c r="BI14" s="2"/>
      <c r="BJ14" s="2"/>
      <c r="BK14" s="2"/>
      <c r="BL14" s="2"/>
      <c r="BM14" s="2"/>
    </row>
    <row r="15" spans="1:65" ht="22.5" customHeight="1" x14ac:dyDescent="0.25">
      <c r="A15" s="2"/>
      <c r="B15" s="88"/>
      <c r="C15" s="13" t="s">
        <v>60</v>
      </c>
      <c r="D15" s="13" t="s">
        <v>59</v>
      </c>
      <c r="E15" s="21" t="s">
        <v>74</v>
      </c>
      <c r="F15" s="14" t="s">
        <v>65</v>
      </c>
      <c r="G15" s="6" t="s">
        <v>63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18">
        <v>0.5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18">
        <v>0.5</v>
      </c>
      <c r="BA15" s="6"/>
      <c r="BB15" s="16"/>
      <c r="BC15" s="6"/>
      <c r="BD15" s="6"/>
      <c r="BE15" s="6"/>
      <c r="BF15" s="6"/>
      <c r="BG15" s="6"/>
      <c r="BH15" s="2"/>
      <c r="BI15" s="2"/>
      <c r="BJ15" s="2"/>
      <c r="BK15" s="2"/>
      <c r="BL15" s="2"/>
      <c r="BM15" s="2"/>
    </row>
    <row r="16" spans="1:65" ht="22.5" customHeight="1" x14ac:dyDescent="0.25">
      <c r="A16" s="2"/>
      <c r="B16" s="88"/>
      <c r="C16" s="13" t="s">
        <v>60</v>
      </c>
      <c r="D16" s="13" t="s">
        <v>59</v>
      </c>
      <c r="E16" s="21" t="s">
        <v>75</v>
      </c>
      <c r="F16" s="14" t="s">
        <v>65</v>
      </c>
      <c r="G16" s="6" t="s">
        <v>63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18">
        <v>0.5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18">
        <v>0.5</v>
      </c>
      <c r="BA16" s="6"/>
      <c r="BB16" s="16"/>
      <c r="BC16" s="6"/>
      <c r="BD16" s="6"/>
      <c r="BE16" s="6"/>
      <c r="BF16" s="6"/>
      <c r="BG16" s="6"/>
      <c r="BH16" s="2"/>
      <c r="BI16" s="2"/>
      <c r="BJ16" s="2"/>
      <c r="BK16" s="2"/>
      <c r="BL16" s="2"/>
      <c r="BM16" s="2"/>
    </row>
    <row r="17" spans="1:65" ht="22.5" customHeight="1" x14ac:dyDescent="0.25">
      <c r="A17" s="2"/>
      <c r="B17" s="98"/>
      <c r="C17" s="13" t="s">
        <v>60</v>
      </c>
      <c r="D17" s="13" t="s">
        <v>59</v>
      </c>
      <c r="E17" s="21" t="s">
        <v>76</v>
      </c>
      <c r="F17" s="14" t="s">
        <v>62</v>
      </c>
      <c r="G17" s="6" t="s">
        <v>63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16">
        <v>8</v>
      </c>
      <c r="BC17" s="6"/>
      <c r="BD17" s="6"/>
      <c r="BE17" s="6"/>
      <c r="BF17" s="6"/>
      <c r="BG17" s="6"/>
      <c r="BH17" s="2"/>
      <c r="BI17" s="2"/>
      <c r="BJ17" s="2"/>
      <c r="BK17" s="2"/>
      <c r="BL17" s="2"/>
      <c r="BM17" s="2"/>
    </row>
    <row r="18" spans="1:65" ht="22.5" customHeight="1" x14ac:dyDescent="0.25">
      <c r="A18" s="2"/>
      <c r="B18" s="94" t="s">
        <v>77</v>
      </c>
      <c r="C18" s="13" t="s">
        <v>78</v>
      </c>
      <c r="D18" s="13" t="s">
        <v>79</v>
      </c>
      <c r="E18" s="21" t="s">
        <v>80</v>
      </c>
      <c r="F18" s="14" t="s">
        <v>62</v>
      </c>
      <c r="G18" s="6"/>
      <c r="H18" s="6"/>
      <c r="I18" s="6"/>
      <c r="J18" s="14"/>
      <c r="K18" s="14"/>
      <c r="L18" s="14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16">
        <v>1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2"/>
      <c r="BI18" s="2"/>
      <c r="BJ18" s="2"/>
      <c r="BK18" s="2"/>
      <c r="BL18" s="2"/>
      <c r="BM18" s="2"/>
    </row>
    <row r="19" spans="1:65" ht="22.5" customHeight="1" x14ac:dyDescent="0.25">
      <c r="A19" s="2"/>
      <c r="B19" s="88"/>
      <c r="C19" s="13" t="s">
        <v>78</v>
      </c>
      <c r="D19" s="13" t="s">
        <v>79</v>
      </c>
      <c r="E19" s="21" t="s">
        <v>81</v>
      </c>
      <c r="F19" s="14" t="s">
        <v>62</v>
      </c>
      <c r="G19" s="6"/>
      <c r="H19" s="6"/>
      <c r="I19" s="6"/>
      <c r="J19" s="14"/>
      <c r="K19" s="14"/>
      <c r="L19" s="14"/>
      <c r="M19" s="6"/>
      <c r="N19" s="14"/>
      <c r="O19" s="14"/>
      <c r="P19" s="14"/>
      <c r="Q19" s="14"/>
      <c r="R19" s="14"/>
      <c r="S19" s="14"/>
      <c r="T19" s="14"/>
      <c r="U19" s="14"/>
      <c r="V19" s="6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6"/>
      <c r="AH19" s="6"/>
      <c r="AI19" s="6"/>
      <c r="AJ19" s="6"/>
      <c r="AK19" s="6"/>
      <c r="AL19" s="6"/>
      <c r="AM19" s="6"/>
      <c r="AN19" s="6"/>
      <c r="AO19" s="16">
        <v>0.5</v>
      </c>
      <c r="AP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2"/>
      <c r="BI19" s="2"/>
      <c r="BJ19" s="2"/>
      <c r="BK19" s="2"/>
      <c r="BL19" s="2"/>
      <c r="BM19" s="2"/>
    </row>
    <row r="20" spans="1:65" ht="22.5" customHeight="1" x14ac:dyDescent="0.25">
      <c r="A20" s="2"/>
      <c r="B20" s="88"/>
      <c r="C20" s="13" t="s">
        <v>78</v>
      </c>
      <c r="D20" s="13" t="s">
        <v>79</v>
      </c>
      <c r="E20" s="21" t="s">
        <v>82</v>
      </c>
      <c r="F20" s="14" t="s">
        <v>62</v>
      </c>
      <c r="G20" s="6"/>
      <c r="H20" s="6"/>
      <c r="I20" s="6"/>
      <c r="J20" s="14"/>
      <c r="K20" s="14"/>
      <c r="L20" s="14"/>
      <c r="M20" s="6"/>
      <c r="N20" s="6"/>
      <c r="O20" s="14"/>
      <c r="P20" s="14"/>
      <c r="Q20" s="14"/>
      <c r="R20" s="14"/>
      <c r="S20" s="14"/>
      <c r="T20" s="14"/>
      <c r="U20" s="6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6"/>
      <c r="AH20" s="6"/>
      <c r="AI20" s="6"/>
      <c r="AJ20" s="6"/>
      <c r="AK20" s="6"/>
      <c r="AL20" s="6"/>
      <c r="AM20" s="6"/>
      <c r="AN20" s="6"/>
      <c r="AO20" s="16">
        <v>0.5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19"/>
      <c r="BI20" s="19"/>
      <c r="BJ20" s="19"/>
      <c r="BK20" s="19"/>
      <c r="BL20" s="19"/>
      <c r="BM20" s="19"/>
    </row>
    <row r="21" spans="1:65" ht="22.5" customHeight="1" x14ac:dyDescent="0.25">
      <c r="A21" s="2"/>
      <c r="B21" s="88"/>
      <c r="C21" s="13" t="s">
        <v>78</v>
      </c>
      <c r="D21" s="13" t="s">
        <v>79</v>
      </c>
      <c r="E21" s="13" t="s">
        <v>83</v>
      </c>
      <c r="F21" s="14" t="s">
        <v>62</v>
      </c>
      <c r="G21" s="6"/>
      <c r="H21" s="6"/>
      <c r="I21" s="6"/>
      <c r="J21" s="14"/>
      <c r="K21" s="14"/>
      <c r="L21" s="14"/>
      <c r="M21" s="6"/>
      <c r="N21" s="6"/>
      <c r="O21" s="14"/>
      <c r="P21" s="14"/>
      <c r="Q21" s="14"/>
      <c r="R21" s="14"/>
      <c r="S21" s="14"/>
      <c r="T21" s="14"/>
      <c r="U21" s="6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6"/>
      <c r="AH21" s="6"/>
      <c r="AI21" s="6"/>
      <c r="AJ21" s="6"/>
      <c r="AK21" s="6"/>
      <c r="AL21" s="6"/>
      <c r="AM21" s="6"/>
      <c r="AN21" s="6"/>
      <c r="AO21" s="16">
        <v>0.5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9"/>
      <c r="BI21" s="19"/>
      <c r="BJ21" s="19"/>
      <c r="BK21" s="19"/>
      <c r="BL21" s="19"/>
      <c r="BM21" s="19"/>
    </row>
    <row r="22" spans="1:65" ht="22.5" customHeight="1" x14ac:dyDescent="0.25">
      <c r="A22" s="2"/>
      <c r="B22" s="88"/>
      <c r="C22" s="13" t="s">
        <v>78</v>
      </c>
      <c r="D22" s="13" t="s">
        <v>79</v>
      </c>
      <c r="E22" s="21" t="s">
        <v>74</v>
      </c>
      <c r="F22" s="14" t="s">
        <v>65</v>
      </c>
      <c r="G22" s="6"/>
      <c r="H22" s="6"/>
      <c r="I22" s="6"/>
      <c r="J22" s="14"/>
      <c r="K22" s="14"/>
      <c r="L22" s="14"/>
      <c r="M22" s="6"/>
      <c r="N22" s="6"/>
      <c r="O22" s="14"/>
      <c r="P22" s="14"/>
      <c r="Q22" s="14"/>
      <c r="R22" s="14"/>
      <c r="S22" s="14"/>
      <c r="T22" s="14"/>
      <c r="U22" s="6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6"/>
      <c r="AH22" s="18">
        <v>0.5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18">
        <v>0.5</v>
      </c>
      <c r="BA22" s="6"/>
      <c r="BB22" s="6"/>
      <c r="BC22" s="6"/>
      <c r="BD22" s="6"/>
      <c r="BE22" s="6"/>
      <c r="BF22" s="6"/>
      <c r="BG22" s="6"/>
      <c r="BH22" s="19"/>
      <c r="BI22" s="19"/>
      <c r="BJ22" s="19"/>
      <c r="BK22" s="19"/>
      <c r="BL22" s="19"/>
      <c r="BM22" s="19"/>
    </row>
    <row r="23" spans="1:65" ht="22.5" customHeight="1" x14ac:dyDescent="0.25">
      <c r="A23" s="2"/>
      <c r="B23" s="88"/>
      <c r="C23" s="13" t="s">
        <v>78</v>
      </c>
      <c r="D23" s="13" t="s">
        <v>79</v>
      </c>
      <c r="E23" s="21" t="s">
        <v>75</v>
      </c>
      <c r="F23" s="14" t="s">
        <v>65</v>
      </c>
      <c r="G23" s="6"/>
      <c r="H23" s="6"/>
      <c r="I23" s="6"/>
      <c r="J23" s="14"/>
      <c r="K23" s="14"/>
      <c r="L23" s="14"/>
      <c r="M23" s="6"/>
      <c r="N23" s="6"/>
      <c r="O23" s="14"/>
      <c r="P23" s="14"/>
      <c r="Q23" s="14"/>
      <c r="R23" s="14"/>
      <c r="S23" s="14"/>
      <c r="T23" s="14"/>
      <c r="U23" s="6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6"/>
      <c r="AH23" s="18">
        <v>0.5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18">
        <v>0.5</v>
      </c>
      <c r="BA23" s="6"/>
      <c r="BB23" s="6"/>
      <c r="BC23" s="6"/>
      <c r="BD23" s="6"/>
      <c r="BE23" s="6"/>
      <c r="BF23" s="6"/>
      <c r="BG23" s="6"/>
      <c r="BH23" s="19"/>
      <c r="BI23" s="19"/>
      <c r="BJ23" s="19"/>
      <c r="BK23" s="19"/>
      <c r="BL23" s="19"/>
      <c r="BM23" s="19"/>
    </row>
    <row r="24" spans="1:65" ht="22.5" customHeight="1" x14ac:dyDescent="0.25">
      <c r="A24" s="2"/>
      <c r="B24" s="88"/>
      <c r="C24" s="13" t="s">
        <v>78</v>
      </c>
      <c r="D24" s="21" t="s">
        <v>79</v>
      </c>
      <c r="E24" s="21" t="s">
        <v>84</v>
      </c>
      <c r="F24" s="14" t="s">
        <v>62</v>
      </c>
      <c r="G24" s="6"/>
      <c r="H24" s="6"/>
      <c r="I24" s="6"/>
      <c r="J24" s="14"/>
      <c r="K24" s="14"/>
      <c r="L24" s="14"/>
      <c r="M24" s="6"/>
      <c r="N24" s="6"/>
      <c r="O24" s="14"/>
      <c r="P24" s="14"/>
      <c r="Q24" s="14"/>
      <c r="R24" s="14"/>
      <c r="S24" s="14"/>
      <c r="T24" s="14"/>
      <c r="U24" s="6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6"/>
      <c r="AH24" s="6"/>
      <c r="AI24" s="6"/>
      <c r="AJ24" s="6"/>
      <c r="AK24" s="6"/>
      <c r="AL24" s="6"/>
      <c r="AM24" s="6"/>
      <c r="AN24" s="6"/>
      <c r="AO24" s="16">
        <v>8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19"/>
      <c r="BI24" s="19"/>
      <c r="BJ24" s="19"/>
      <c r="BK24" s="19"/>
      <c r="BL24" s="19"/>
      <c r="BM24" s="19"/>
    </row>
    <row r="25" spans="1:65" ht="22.5" customHeight="1" x14ac:dyDescent="0.25">
      <c r="A25" s="2"/>
      <c r="B25" s="88"/>
      <c r="C25" s="13" t="s">
        <v>78</v>
      </c>
      <c r="D25" s="13" t="s">
        <v>79</v>
      </c>
      <c r="E25" s="21" t="s">
        <v>85</v>
      </c>
      <c r="F25" s="14" t="s">
        <v>62</v>
      </c>
      <c r="G25" s="6"/>
      <c r="H25" s="6"/>
      <c r="I25" s="6"/>
      <c r="J25" s="14"/>
      <c r="K25" s="14"/>
      <c r="L25" s="14"/>
      <c r="M25" s="6"/>
      <c r="N25" s="6"/>
      <c r="O25" s="6"/>
      <c r="P25" s="6"/>
      <c r="Q25" s="6"/>
      <c r="R25" s="6"/>
      <c r="S25" s="6"/>
      <c r="T25" s="6"/>
      <c r="U25" s="6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6"/>
      <c r="AH25" s="6"/>
      <c r="AI25" s="6"/>
      <c r="AJ25" s="6"/>
      <c r="AK25" s="6"/>
      <c r="AL25" s="6"/>
      <c r="AM25" s="6"/>
      <c r="AN25" s="6"/>
      <c r="AO25" s="16" t="s">
        <v>63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2"/>
      <c r="BI25" s="19"/>
      <c r="BJ25" s="19"/>
      <c r="BK25" s="19"/>
      <c r="BL25" s="19"/>
      <c r="BM25" s="19"/>
    </row>
    <row r="26" spans="1:65" ht="22.5" customHeight="1" x14ac:dyDescent="0.25">
      <c r="A26" s="17"/>
      <c r="B26" s="89"/>
      <c r="C26" s="13" t="s">
        <v>78</v>
      </c>
      <c r="D26" s="21" t="s">
        <v>79</v>
      </c>
      <c r="E26" s="21" t="s">
        <v>86</v>
      </c>
      <c r="F26" s="14" t="s">
        <v>62</v>
      </c>
      <c r="G26" s="6"/>
      <c r="H26" s="6"/>
      <c r="I26" s="6"/>
      <c r="J26" s="14"/>
      <c r="K26" s="14"/>
      <c r="L26" s="14"/>
      <c r="M26" s="6"/>
      <c r="N26" s="6"/>
      <c r="O26" s="14"/>
      <c r="P26" s="14"/>
      <c r="Q26" s="14"/>
      <c r="R26" s="14"/>
      <c r="S26" s="14"/>
      <c r="T26" s="14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6"/>
      <c r="AH26" s="6"/>
      <c r="AI26" s="6"/>
      <c r="AJ26" s="6"/>
      <c r="AK26" s="6"/>
      <c r="AL26" s="6"/>
      <c r="AM26" s="6"/>
      <c r="AN26" s="6"/>
      <c r="AO26" s="16">
        <v>0.5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2"/>
      <c r="BI26" s="2"/>
      <c r="BJ26" s="2"/>
      <c r="BK26" s="2"/>
      <c r="BL26" s="19"/>
      <c r="BM26" s="19"/>
    </row>
    <row r="27" spans="1:65" ht="22.5" customHeight="1" x14ac:dyDescent="0.25">
      <c r="A27" s="2"/>
      <c r="B27" s="94" t="s">
        <v>87</v>
      </c>
      <c r="C27" s="13" t="s">
        <v>88</v>
      </c>
      <c r="D27" s="13" t="s">
        <v>89</v>
      </c>
      <c r="E27" s="21" t="s">
        <v>90</v>
      </c>
      <c r="F27" s="14" t="s">
        <v>62</v>
      </c>
      <c r="G27" s="6"/>
      <c r="H27" s="6"/>
      <c r="I27" s="6"/>
      <c r="J27" s="14"/>
      <c r="K27" s="6"/>
      <c r="L27" s="6"/>
      <c r="M27" s="6"/>
      <c r="N27" s="6"/>
      <c r="O27" s="14"/>
      <c r="P27" s="14"/>
      <c r="Q27" s="14"/>
      <c r="R27" s="14"/>
      <c r="S27" s="14"/>
      <c r="T27" s="15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6"/>
      <c r="AH27" s="6"/>
      <c r="AI27" s="6"/>
      <c r="AJ27" s="6"/>
      <c r="AK27" s="6"/>
      <c r="AL27" s="6"/>
      <c r="AM27" s="6"/>
      <c r="AN27" s="6"/>
      <c r="AO27" s="6"/>
      <c r="AP27" s="23">
        <v>1</v>
      </c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2"/>
      <c r="BI27" s="2"/>
      <c r="BJ27" s="2"/>
      <c r="BK27" s="2"/>
      <c r="BL27" s="2"/>
      <c r="BM27" s="2"/>
    </row>
    <row r="28" spans="1:65" ht="22.5" customHeight="1" x14ac:dyDescent="0.25">
      <c r="A28" s="2"/>
      <c r="B28" s="88"/>
      <c r="C28" s="13" t="s">
        <v>88</v>
      </c>
      <c r="D28" s="13" t="s">
        <v>89</v>
      </c>
      <c r="E28" s="21" t="s">
        <v>91</v>
      </c>
      <c r="F28" s="6" t="s">
        <v>62</v>
      </c>
      <c r="G28" s="6"/>
      <c r="H28" s="6"/>
      <c r="I28" s="6"/>
      <c r="J28" s="6"/>
      <c r="K28" s="6"/>
      <c r="L28" s="6"/>
      <c r="M28" s="14"/>
      <c r="N28" s="6"/>
      <c r="O28" s="6"/>
      <c r="P28" s="6"/>
      <c r="Q28" s="6"/>
      <c r="R28" s="6"/>
      <c r="S28" s="6"/>
      <c r="T28" s="6"/>
      <c r="U28" s="13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24"/>
      <c r="AP28" s="6"/>
      <c r="AQ28" s="6"/>
      <c r="AR28" s="25">
        <v>4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2"/>
      <c r="BI28" s="2"/>
      <c r="BJ28" s="2"/>
      <c r="BK28" s="2"/>
      <c r="BL28" s="2"/>
      <c r="BM28" s="2"/>
    </row>
    <row r="29" spans="1:65" ht="22.5" customHeight="1" x14ac:dyDescent="0.25">
      <c r="A29" s="17"/>
      <c r="B29" s="88"/>
      <c r="C29" s="13" t="s">
        <v>88</v>
      </c>
      <c r="D29" s="13" t="s">
        <v>89</v>
      </c>
      <c r="E29" s="21" t="s">
        <v>92</v>
      </c>
      <c r="F29" s="6" t="s">
        <v>93</v>
      </c>
      <c r="G29" s="6"/>
      <c r="H29" s="6"/>
      <c r="I29" s="14"/>
      <c r="J29" s="14"/>
      <c r="K29" s="6"/>
      <c r="L29" s="14"/>
      <c r="M29" s="14"/>
      <c r="N29" s="6"/>
      <c r="O29" s="14"/>
      <c r="P29" s="14"/>
      <c r="Q29" s="14"/>
      <c r="R29" s="14"/>
      <c r="S29" s="14"/>
      <c r="T29" s="14"/>
      <c r="U29" s="6"/>
      <c r="V29" s="14"/>
      <c r="W29" s="6"/>
      <c r="X29" s="14"/>
      <c r="Y29" s="14"/>
      <c r="Z29" s="14"/>
      <c r="AA29" s="14"/>
      <c r="AB29" s="14"/>
      <c r="AC29" s="14"/>
      <c r="AD29" s="14"/>
      <c r="AE29" s="14"/>
      <c r="AF29" s="14"/>
      <c r="AG29" s="6"/>
      <c r="AH29" s="6"/>
      <c r="AI29" s="6"/>
      <c r="AJ29" s="6"/>
      <c r="AK29" s="6"/>
      <c r="AL29" s="6"/>
      <c r="AM29" s="6"/>
      <c r="AN29" s="6"/>
      <c r="AO29" s="23">
        <v>0.5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23">
        <v>0.5</v>
      </c>
      <c r="BG29" s="6"/>
      <c r="BH29" s="2"/>
      <c r="BI29" s="2"/>
      <c r="BJ29" s="2"/>
      <c r="BK29" s="2"/>
      <c r="BL29" s="2"/>
      <c r="BM29" s="2"/>
    </row>
    <row r="30" spans="1:65" ht="22.5" customHeight="1" x14ac:dyDescent="0.25">
      <c r="A30" s="2"/>
      <c r="B30" s="88"/>
      <c r="C30" s="13" t="s">
        <v>88</v>
      </c>
      <c r="D30" s="13" t="s">
        <v>89</v>
      </c>
      <c r="E30" s="21" t="s">
        <v>94</v>
      </c>
      <c r="F30" s="14" t="s">
        <v>62</v>
      </c>
      <c r="G30" s="6"/>
      <c r="H30" s="6"/>
      <c r="I30" s="14"/>
      <c r="J30" s="14"/>
      <c r="K30" s="6"/>
      <c r="L30" s="14"/>
      <c r="M30" s="14"/>
      <c r="N30" s="6"/>
      <c r="O30" s="14"/>
      <c r="P30" s="14"/>
      <c r="Q30" s="14"/>
      <c r="R30" s="14"/>
      <c r="S30" s="14"/>
      <c r="T30" s="14"/>
      <c r="U30" s="6"/>
      <c r="V30" s="22"/>
      <c r="W30" s="6"/>
      <c r="X30" s="22"/>
      <c r="Y30" s="22"/>
      <c r="Z30" s="22"/>
      <c r="AA30" s="22"/>
      <c r="AB30" s="22"/>
      <c r="AC30" s="22"/>
      <c r="AD30" s="22"/>
      <c r="AE30" s="22"/>
      <c r="AF30" s="22"/>
      <c r="AG30" s="6"/>
      <c r="AH30" s="15"/>
      <c r="AI30" s="6"/>
      <c r="AJ30" s="6"/>
      <c r="AK30" s="6"/>
      <c r="AL30" s="6"/>
      <c r="AM30" s="6"/>
      <c r="AN30" s="6"/>
      <c r="AO30" s="6"/>
      <c r="AP30" s="6"/>
      <c r="AQ30" s="15"/>
      <c r="AR30" s="16">
        <v>0.2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2"/>
      <c r="BI30" s="2"/>
      <c r="BJ30" s="2"/>
      <c r="BK30" s="2"/>
      <c r="BL30" s="2"/>
      <c r="BM30" s="2"/>
    </row>
    <row r="31" spans="1:65" ht="22.5" customHeight="1" x14ac:dyDescent="0.25">
      <c r="A31" s="2"/>
      <c r="B31" s="88"/>
      <c r="C31" s="13" t="s">
        <v>88</v>
      </c>
      <c r="D31" s="13" t="s">
        <v>89</v>
      </c>
      <c r="E31" s="21" t="s">
        <v>74</v>
      </c>
      <c r="F31" s="14" t="s">
        <v>65</v>
      </c>
      <c r="G31" s="6"/>
      <c r="H31" s="6"/>
      <c r="I31" s="14"/>
      <c r="J31" s="14"/>
      <c r="K31" s="6"/>
      <c r="L31" s="14"/>
      <c r="M31" s="14"/>
      <c r="N31" s="6"/>
      <c r="O31" s="14"/>
      <c r="P31" s="14"/>
      <c r="Q31" s="14"/>
      <c r="R31" s="14"/>
      <c r="S31" s="14"/>
      <c r="T31" s="14"/>
      <c r="U31" s="6"/>
      <c r="V31" s="14"/>
      <c r="W31" s="6"/>
      <c r="X31" s="14"/>
      <c r="Y31" s="14"/>
      <c r="Z31" s="14"/>
      <c r="AA31" s="14"/>
      <c r="AB31" s="14"/>
      <c r="AC31" s="14"/>
      <c r="AD31" s="14"/>
      <c r="AE31" s="14"/>
      <c r="AF31" s="14"/>
      <c r="AG31" s="6"/>
      <c r="AH31" s="18">
        <v>0.5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18">
        <v>0.5</v>
      </c>
      <c r="BA31" s="6"/>
      <c r="BB31" s="6"/>
      <c r="BC31" s="6"/>
      <c r="BD31" s="6"/>
      <c r="BE31" s="6"/>
      <c r="BF31" s="6"/>
      <c r="BG31" s="6"/>
      <c r="BH31" s="2"/>
      <c r="BI31" s="2"/>
      <c r="BJ31" s="2"/>
      <c r="BK31" s="2"/>
      <c r="BL31" s="2"/>
      <c r="BM31" s="2"/>
    </row>
    <row r="32" spans="1:65" ht="22.5" customHeight="1" x14ac:dyDescent="0.25">
      <c r="A32" s="2"/>
      <c r="B32" s="88"/>
      <c r="C32" s="13" t="s">
        <v>88</v>
      </c>
      <c r="D32" s="13" t="s">
        <v>89</v>
      </c>
      <c r="E32" s="21" t="s">
        <v>75</v>
      </c>
      <c r="F32" s="14" t="s">
        <v>65</v>
      </c>
      <c r="G32" s="6"/>
      <c r="H32" s="6"/>
      <c r="I32" s="14"/>
      <c r="J32" s="14"/>
      <c r="K32" s="6"/>
      <c r="L32" s="14"/>
      <c r="M32" s="14"/>
      <c r="N32" s="6"/>
      <c r="O32" s="14"/>
      <c r="P32" s="14"/>
      <c r="Q32" s="14"/>
      <c r="R32" s="14"/>
      <c r="S32" s="14"/>
      <c r="T32" s="14"/>
      <c r="U32" s="6"/>
      <c r="V32" s="14"/>
      <c r="W32" s="6"/>
      <c r="X32" s="14"/>
      <c r="Y32" s="14"/>
      <c r="Z32" s="14"/>
      <c r="AA32" s="14"/>
      <c r="AB32" s="14"/>
      <c r="AC32" s="14"/>
      <c r="AD32" s="14"/>
      <c r="AE32" s="14"/>
      <c r="AF32" s="14"/>
      <c r="AG32" s="6"/>
      <c r="AH32" s="18">
        <v>0.5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18">
        <v>0.5</v>
      </c>
      <c r="BA32" s="6"/>
      <c r="BB32" s="6"/>
      <c r="BC32" s="6"/>
      <c r="BD32" s="6"/>
      <c r="BE32" s="6"/>
      <c r="BF32" s="6"/>
      <c r="BG32" s="6"/>
      <c r="BH32" s="2"/>
      <c r="BI32" s="2"/>
      <c r="BJ32" s="2"/>
      <c r="BK32" s="2"/>
      <c r="BL32" s="2"/>
      <c r="BM32" s="2"/>
    </row>
    <row r="33" spans="1:65" ht="22.5" customHeight="1" x14ac:dyDescent="0.25">
      <c r="A33" s="2"/>
      <c r="B33" s="88"/>
      <c r="C33" s="13" t="s">
        <v>88</v>
      </c>
      <c r="D33" s="13" t="s">
        <v>89</v>
      </c>
      <c r="E33" s="21" t="s">
        <v>95</v>
      </c>
      <c r="F33" s="6" t="s">
        <v>62</v>
      </c>
      <c r="G33" s="6"/>
      <c r="H33" s="6"/>
      <c r="I33" s="14"/>
      <c r="J33" s="14"/>
      <c r="K33" s="6"/>
      <c r="L33" s="14"/>
      <c r="M33" s="14"/>
      <c r="N33" s="6"/>
      <c r="O33" s="14"/>
      <c r="P33" s="14"/>
      <c r="Q33" s="14"/>
      <c r="R33" s="14"/>
      <c r="S33" s="14"/>
      <c r="T33" s="14"/>
      <c r="U33" s="6"/>
      <c r="V33" s="14"/>
      <c r="W33" s="6"/>
      <c r="X33" s="14"/>
      <c r="Y33" s="14"/>
      <c r="Z33" s="14"/>
      <c r="AA33" s="14"/>
      <c r="AB33" s="14"/>
      <c r="AC33" s="14"/>
      <c r="AD33" s="14"/>
      <c r="AE33" s="14"/>
      <c r="AF33" s="14"/>
      <c r="AG33" s="6"/>
      <c r="AH33" s="15"/>
      <c r="AI33" s="6"/>
      <c r="AJ33" s="6"/>
      <c r="AK33" s="6"/>
      <c r="AL33" s="6"/>
      <c r="AM33" s="6"/>
      <c r="AN33" s="6"/>
      <c r="AO33" s="6"/>
      <c r="AP33" s="6"/>
      <c r="AQ33" s="16">
        <v>0.5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2"/>
      <c r="BI33" s="2"/>
      <c r="BJ33" s="2"/>
      <c r="BK33" s="2"/>
      <c r="BL33" s="2"/>
      <c r="BM33" s="2"/>
    </row>
    <row r="34" spans="1:65" ht="22.5" customHeight="1" x14ac:dyDescent="0.25">
      <c r="A34" s="2"/>
      <c r="B34" s="88"/>
      <c r="C34" s="13" t="s">
        <v>88</v>
      </c>
      <c r="D34" s="21" t="s">
        <v>89</v>
      </c>
      <c r="E34" s="21" t="s">
        <v>96</v>
      </c>
      <c r="F34" s="14" t="s">
        <v>62</v>
      </c>
      <c r="G34" s="6"/>
      <c r="H34" s="6"/>
      <c r="I34" s="14"/>
      <c r="J34" s="14"/>
      <c r="K34" s="6"/>
      <c r="L34" s="14"/>
      <c r="M34" s="14"/>
      <c r="N34" s="6"/>
      <c r="O34" s="14"/>
      <c r="P34" s="14"/>
      <c r="Q34" s="14"/>
      <c r="R34" s="14"/>
      <c r="S34" s="14"/>
      <c r="T34" s="14"/>
      <c r="U34" s="15"/>
      <c r="V34" s="14"/>
      <c r="W34" s="6"/>
      <c r="X34" s="22"/>
      <c r="Y34" s="22"/>
      <c r="Z34" s="22"/>
      <c r="AA34" s="22"/>
      <c r="AB34" s="22"/>
      <c r="AC34" s="22"/>
      <c r="AD34" s="22"/>
      <c r="AE34" s="22"/>
      <c r="AF34" s="22"/>
      <c r="AG34" s="6"/>
      <c r="AH34" s="15"/>
      <c r="AI34" s="6"/>
      <c r="AJ34" s="6"/>
      <c r="AK34" s="6"/>
      <c r="AL34" s="6"/>
      <c r="AM34" s="6"/>
      <c r="AN34" s="6"/>
      <c r="AO34" s="6"/>
      <c r="AP34" s="6"/>
      <c r="AQ34" s="15"/>
      <c r="AR34" s="16">
        <v>0.5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15"/>
      <c r="BD34" s="6"/>
      <c r="BE34" s="6"/>
      <c r="BF34" s="6"/>
      <c r="BG34" s="6"/>
      <c r="BH34" s="2"/>
      <c r="BI34" s="2"/>
      <c r="BJ34" s="2"/>
      <c r="BK34" s="2"/>
      <c r="BL34" s="2"/>
      <c r="BM34" s="2"/>
    </row>
    <row r="35" spans="1:65" ht="22.5" customHeight="1" x14ac:dyDescent="0.25">
      <c r="A35" s="2"/>
      <c r="B35" s="88"/>
      <c r="C35" s="13" t="s">
        <v>88</v>
      </c>
      <c r="D35" s="13" t="s">
        <v>89</v>
      </c>
      <c r="E35" s="21" t="s">
        <v>85</v>
      </c>
      <c r="F35" s="14" t="s">
        <v>62</v>
      </c>
      <c r="G35" s="6"/>
      <c r="H35" s="6"/>
      <c r="I35" s="14"/>
      <c r="J35" s="14"/>
      <c r="K35" s="6"/>
      <c r="L35" s="14"/>
      <c r="M35" s="14"/>
      <c r="N35" s="6"/>
      <c r="O35" s="14"/>
      <c r="P35" s="14"/>
      <c r="Q35" s="14"/>
      <c r="R35" s="14"/>
      <c r="S35" s="14"/>
      <c r="T35" s="14"/>
      <c r="U35" s="15"/>
      <c r="V35" s="14"/>
      <c r="W35" s="6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15"/>
      <c r="AI35" s="22"/>
      <c r="AJ35" s="22"/>
      <c r="AK35" s="6"/>
      <c r="AL35" s="22"/>
      <c r="AM35" s="22"/>
      <c r="AN35" s="22"/>
      <c r="AO35" s="6"/>
      <c r="AP35" s="6"/>
      <c r="AQ35" s="15"/>
      <c r="AR35" s="16">
        <v>8</v>
      </c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15"/>
      <c r="BD35" s="22"/>
      <c r="BE35" s="22"/>
      <c r="BF35" s="22"/>
      <c r="BG35" s="22"/>
      <c r="BH35" s="2"/>
      <c r="BI35" s="2"/>
      <c r="BJ35" s="2"/>
      <c r="BK35" s="2"/>
      <c r="BL35" s="2"/>
      <c r="BM35" s="2"/>
    </row>
    <row r="36" spans="1:65" ht="22.5" customHeight="1" x14ac:dyDescent="0.25">
      <c r="A36" s="2"/>
      <c r="B36" s="89"/>
      <c r="C36" s="13" t="s">
        <v>88</v>
      </c>
      <c r="D36" s="13" t="s">
        <v>89</v>
      </c>
      <c r="E36" s="21" t="s">
        <v>97</v>
      </c>
      <c r="F36" s="14" t="s">
        <v>62</v>
      </c>
      <c r="G36" s="6"/>
      <c r="H36" s="6"/>
      <c r="I36" s="14"/>
      <c r="J36" s="14"/>
      <c r="K36" s="6"/>
      <c r="L36" s="14"/>
      <c r="M36" s="14"/>
      <c r="N36" s="6"/>
      <c r="O36" s="14"/>
      <c r="P36" s="14"/>
      <c r="Q36" s="14"/>
      <c r="R36" s="14"/>
      <c r="S36" s="14"/>
      <c r="T36" s="14"/>
      <c r="U36" s="15"/>
      <c r="V36" s="14"/>
      <c r="W36" s="6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15"/>
      <c r="AI36" s="22"/>
      <c r="AJ36" s="22"/>
      <c r="AK36" s="6"/>
      <c r="AL36" s="22"/>
      <c r="AM36" s="22"/>
      <c r="AN36" s="22"/>
      <c r="AO36" s="6"/>
      <c r="AP36" s="6"/>
      <c r="AQ36" s="15"/>
      <c r="AR36" s="16">
        <v>0.5</v>
      </c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15"/>
      <c r="BD36" s="22"/>
      <c r="BE36" s="22"/>
      <c r="BF36" s="22"/>
      <c r="BG36" s="22"/>
      <c r="BH36" s="2"/>
      <c r="BI36" s="2"/>
      <c r="BJ36" s="2"/>
      <c r="BK36" s="2"/>
      <c r="BL36" s="2"/>
      <c r="BM36" s="2"/>
    </row>
    <row r="37" spans="1:65" ht="22.5" customHeight="1" x14ac:dyDescent="0.25">
      <c r="A37" s="2"/>
      <c r="B37" s="94" t="s">
        <v>98</v>
      </c>
      <c r="C37" s="13" t="s">
        <v>99</v>
      </c>
      <c r="D37" s="13" t="s">
        <v>100</v>
      </c>
      <c r="E37" s="21" t="s">
        <v>90</v>
      </c>
      <c r="F37" s="14" t="s">
        <v>62</v>
      </c>
      <c r="G37" s="6"/>
      <c r="H37" s="6"/>
      <c r="I37" s="6"/>
      <c r="J37" s="14"/>
      <c r="K37" s="6"/>
      <c r="L37" s="14"/>
      <c r="M37" s="6"/>
      <c r="N37" s="6"/>
      <c r="O37" s="14"/>
      <c r="P37" s="14"/>
      <c r="Q37" s="14"/>
      <c r="R37" s="14"/>
      <c r="S37" s="14"/>
      <c r="T37" s="15"/>
      <c r="U37" s="14"/>
      <c r="V37" s="14"/>
      <c r="W37" s="6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6"/>
      <c r="AJ37" s="6"/>
      <c r="AK37" s="6"/>
      <c r="AL37" s="6"/>
      <c r="AM37" s="6"/>
      <c r="AN37" s="6"/>
      <c r="AO37" s="6"/>
      <c r="AP37" s="23">
        <v>1</v>
      </c>
      <c r="AQ37" s="14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14"/>
      <c r="BD37" s="6"/>
      <c r="BE37" s="6"/>
      <c r="BF37" s="6"/>
      <c r="BG37" s="6"/>
      <c r="BH37" s="2"/>
      <c r="BI37" s="2"/>
      <c r="BJ37" s="2"/>
      <c r="BK37" s="2"/>
      <c r="BL37" s="2"/>
      <c r="BM37" s="2"/>
    </row>
    <row r="38" spans="1:65" ht="22.5" customHeight="1" x14ac:dyDescent="0.25">
      <c r="A38" s="2"/>
      <c r="B38" s="88"/>
      <c r="C38" s="13" t="s">
        <v>99</v>
      </c>
      <c r="D38" s="13" t="s">
        <v>100</v>
      </c>
      <c r="E38" s="21" t="s">
        <v>101</v>
      </c>
      <c r="F38" s="14" t="s">
        <v>62</v>
      </c>
      <c r="G38" s="6"/>
      <c r="H38" s="6"/>
      <c r="I38" s="14"/>
      <c r="J38" s="14"/>
      <c r="K38" s="6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6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6"/>
      <c r="AJ38" s="6"/>
      <c r="AK38" s="6"/>
      <c r="AL38" s="6"/>
      <c r="AM38" s="6"/>
      <c r="AN38" s="6"/>
      <c r="AO38" s="6"/>
      <c r="AP38" s="14"/>
      <c r="AQ38" s="16">
        <v>0.5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2"/>
      <c r="BI38" s="2"/>
      <c r="BJ38" s="2"/>
      <c r="BK38" s="2"/>
      <c r="BL38" s="2"/>
      <c r="BM38" s="2"/>
    </row>
    <row r="39" spans="1:65" ht="22.5" customHeight="1" x14ac:dyDescent="0.25">
      <c r="A39" s="2"/>
      <c r="B39" s="88"/>
      <c r="C39" s="13" t="s">
        <v>99</v>
      </c>
      <c r="D39" s="13" t="s">
        <v>100</v>
      </c>
      <c r="E39" s="21" t="s">
        <v>74</v>
      </c>
      <c r="F39" s="14" t="s">
        <v>65</v>
      </c>
      <c r="G39" s="6"/>
      <c r="H39" s="6"/>
      <c r="I39" s="14"/>
      <c r="J39" s="14"/>
      <c r="K39" s="6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6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8">
        <v>0.5</v>
      </c>
      <c r="AI39" s="6"/>
      <c r="AJ39" s="6"/>
      <c r="AK39" s="6"/>
      <c r="AL39" s="6"/>
      <c r="AM39" s="6"/>
      <c r="AN39" s="6"/>
      <c r="AO39" s="6"/>
      <c r="AP39" s="14"/>
      <c r="AQ39" s="14"/>
      <c r="AR39" s="6"/>
      <c r="AS39" s="6"/>
      <c r="AT39" s="6"/>
      <c r="AU39" s="6"/>
      <c r="AV39" s="6"/>
      <c r="AW39" s="6"/>
      <c r="AX39" s="6"/>
      <c r="AY39" s="6"/>
      <c r="AZ39" s="18">
        <v>0.5</v>
      </c>
      <c r="BA39" s="6"/>
      <c r="BB39" s="6"/>
      <c r="BC39" s="6"/>
      <c r="BD39" s="6"/>
      <c r="BE39" s="6"/>
      <c r="BF39" s="6"/>
      <c r="BG39" s="6"/>
      <c r="BH39" s="2"/>
      <c r="BI39" s="2"/>
      <c r="BJ39" s="2"/>
      <c r="BK39" s="2"/>
      <c r="BL39" s="2"/>
      <c r="BM39" s="2"/>
    </row>
    <row r="40" spans="1:65" ht="22.5" customHeight="1" x14ac:dyDescent="0.25">
      <c r="A40" s="2"/>
      <c r="B40" s="88"/>
      <c r="C40" s="13" t="s">
        <v>99</v>
      </c>
      <c r="D40" s="13" t="s">
        <v>100</v>
      </c>
      <c r="E40" s="21" t="s">
        <v>75</v>
      </c>
      <c r="F40" s="14" t="s">
        <v>65</v>
      </c>
      <c r="G40" s="6"/>
      <c r="H40" s="6"/>
      <c r="I40" s="14"/>
      <c r="J40" s="14"/>
      <c r="K40" s="6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6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8">
        <v>0.5</v>
      </c>
      <c r="AI40" s="6"/>
      <c r="AJ40" s="6"/>
      <c r="AK40" s="6"/>
      <c r="AL40" s="6"/>
      <c r="AM40" s="6"/>
      <c r="AN40" s="6"/>
      <c r="AO40" s="6"/>
      <c r="AP40" s="14"/>
      <c r="AQ40" s="14"/>
      <c r="AR40" s="6"/>
      <c r="AS40" s="6"/>
      <c r="AT40" s="6"/>
      <c r="AU40" s="6"/>
      <c r="AV40" s="6"/>
      <c r="AW40" s="6"/>
      <c r="AX40" s="6"/>
      <c r="AY40" s="6"/>
      <c r="AZ40" s="18">
        <v>0.5</v>
      </c>
      <c r="BA40" s="6"/>
      <c r="BB40" s="6"/>
      <c r="BC40" s="6"/>
      <c r="BD40" s="6"/>
      <c r="BE40" s="6"/>
      <c r="BF40" s="6"/>
      <c r="BG40" s="6"/>
      <c r="BH40" s="2"/>
      <c r="BI40" s="2"/>
      <c r="BJ40" s="2"/>
      <c r="BK40" s="2"/>
      <c r="BL40" s="2"/>
      <c r="BM40" s="2"/>
    </row>
    <row r="41" spans="1:65" ht="22.5" customHeight="1" x14ac:dyDescent="0.25">
      <c r="A41" s="2"/>
      <c r="B41" s="88"/>
      <c r="C41" s="13" t="s">
        <v>99</v>
      </c>
      <c r="D41" s="13" t="s">
        <v>100</v>
      </c>
      <c r="E41" s="21" t="s">
        <v>102</v>
      </c>
      <c r="F41" s="14" t="s">
        <v>62</v>
      </c>
      <c r="G41" s="6"/>
      <c r="H41" s="6"/>
      <c r="I41" s="14"/>
      <c r="J41" s="14"/>
      <c r="K41" s="6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6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6"/>
      <c r="AJ41" s="6"/>
      <c r="AK41" s="6"/>
      <c r="AL41" s="6"/>
      <c r="AM41" s="6"/>
      <c r="AN41" s="6"/>
      <c r="AO41" s="6"/>
      <c r="AP41" s="14"/>
      <c r="AQ41" s="16">
        <v>0.2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2"/>
      <c r="BI41" s="2"/>
      <c r="BJ41" s="2"/>
      <c r="BK41" s="2"/>
      <c r="BL41" s="2"/>
      <c r="BM41" s="2"/>
    </row>
    <row r="42" spans="1:65" ht="22.5" customHeight="1" x14ac:dyDescent="0.25">
      <c r="A42" s="2"/>
      <c r="B42" s="88"/>
      <c r="C42" s="13" t="s">
        <v>99</v>
      </c>
      <c r="D42" s="13" t="s">
        <v>100</v>
      </c>
      <c r="E42" s="21" t="s">
        <v>103</v>
      </c>
      <c r="F42" s="14" t="s">
        <v>62</v>
      </c>
      <c r="G42" s="6"/>
      <c r="H42" s="6"/>
      <c r="I42" s="14"/>
      <c r="J42" s="14"/>
      <c r="K42" s="6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6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6"/>
      <c r="AJ42" s="6"/>
      <c r="AK42" s="6"/>
      <c r="AL42" s="6"/>
      <c r="AM42" s="6"/>
      <c r="AN42" s="6"/>
      <c r="AO42" s="6"/>
      <c r="AP42" s="14"/>
      <c r="AQ42" s="16">
        <v>0.5</v>
      </c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2"/>
      <c r="BI42" s="2"/>
      <c r="BJ42" s="2"/>
      <c r="BK42" s="2"/>
      <c r="BL42" s="2"/>
      <c r="BM42" s="2"/>
    </row>
    <row r="43" spans="1:65" ht="22.5" customHeight="1" x14ac:dyDescent="0.25">
      <c r="A43" s="2"/>
      <c r="B43" s="88"/>
      <c r="C43" s="13" t="s">
        <v>99</v>
      </c>
      <c r="D43" s="13" t="s">
        <v>100</v>
      </c>
      <c r="E43" s="21" t="s">
        <v>96</v>
      </c>
      <c r="F43" s="14" t="s">
        <v>62</v>
      </c>
      <c r="G43" s="6"/>
      <c r="H43" s="6"/>
      <c r="I43" s="14"/>
      <c r="J43" s="14"/>
      <c r="K43" s="6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6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6"/>
      <c r="AJ43" s="6"/>
      <c r="AK43" s="6"/>
      <c r="AL43" s="6"/>
      <c r="AM43" s="6"/>
      <c r="AN43" s="6"/>
      <c r="AO43" s="6"/>
      <c r="AP43" s="14"/>
      <c r="AQ43" s="16">
        <v>0.5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2"/>
      <c r="BI43" s="2"/>
      <c r="BJ43" s="2"/>
      <c r="BK43" s="2"/>
      <c r="BL43" s="2"/>
      <c r="BM43" s="2"/>
    </row>
    <row r="44" spans="1:65" ht="22.5" customHeight="1" x14ac:dyDescent="0.25">
      <c r="A44" s="2"/>
      <c r="B44" s="88"/>
      <c r="C44" s="13" t="s">
        <v>99</v>
      </c>
      <c r="D44" s="13" t="s">
        <v>100</v>
      </c>
      <c r="E44" s="21" t="s">
        <v>85</v>
      </c>
      <c r="F44" s="14" t="s">
        <v>62</v>
      </c>
      <c r="G44" s="6"/>
      <c r="H44" s="6"/>
      <c r="I44" s="14"/>
      <c r="J44" s="14"/>
      <c r="K44" s="6"/>
      <c r="L44" s="14"/>
      <c r="N44" s="14"/>
      <c r="O44" s="14"/>
      <c r="P44" s="14"/>
      <c r="Q44" s="14"/>
      <c r="R44" s="14"/>
      <c r="S44" s="14"/>
      <c r="T44" s="14"/>
      <c r="U44" s="14"/>
      <c r="V44" s="14"/>
      <c r="W44" s="6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6"/>
      <c r="AJ44" s="6"/>
      <c r="AK44" s="6"/>
      <c r="AL44" s="6"/>
      <c r="AM44" s="6"/>
      <c r="AN44" s="6"/>
      <c r="AO44" s="6"/>
      <c r="AP44" s="14"/>
      <c r="AQ44" s="14"/>
      <c r="AR44" s="16">
        <v>8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2"/>
      <c r="BI44" s="2"/>
      <c r="BJ44" s="2"/>
      <c r="BK44" s="2"/>
      <c r="BL44" s="2"/>
      <c r="BM44" s="2"/>
    </row>
    <row r="45" spans="1:65" ht="22.5" customHeight="1" x14ac:dyDescent="0.25">
      <c r="A45" s="2"/>
      <c r="B45" s="88"/>
      <c r="C45" s="13" t="s">
        <v>99</v>
      </c>
      <c r="D45" s="13" t="s">
        <v>100</v>
      </c>
      <c r="E45" s="21" t="s">
        <v>104</v>
      </c>
      <c r="F45" s="14" t="s">
        <v>62</v>
      </c>
      <c r="G45" s="6"/>
      <c r="H45" s="6"/>
      <c r="I45" s="14"/>
      <c r="J45" s="14"/>
      <c r="K45" s="6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6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6"/>
      <c r="AJ45" s="6"/>
      <c r="AK45" s="6"/>
      <c r="AL45" s="6"/>
      <c r="AM45" s="6"/>
      <c r="AN45" s="6"/>
      <c r="AO45" s="6"/>
      <c r="AP45" s="14"/>
      <c r="AQ45" s="16">
        <v>0.5</v>
      </c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2"/>
      <c r="BI45" s="2"/>
      <c r="BJ45" s="2"/>
      <c r="BK45" s="2"/>
      <c r="BL45" s="2"/>
      <c r="BM45" s="2"/>
    </row>
    <row r="46" spans="1:65" ht="22.5" customHeight="1" x14ac:dyDescent="0.25">
      <c r="A46" s="2"/>
      <c r="B46" s="89"/>
      <c r="C46" s="13" t="s">
        <v>99</v>
      </c>
      <c r="D46" s="13" t="s">
        <v>100</v>
      </c>
      <c r="E46" s="21" t="s">
        <v>97</v>
      </c>
      <c r="F46" s="14" t="s">
        <v>62</v>
      </c>
      <c r="G46" s="6"/>
      <c r="H46" s="6"/>
      <c r="I46" s="14"/>
      <c r="J46" s="14"/>
      <c r="K46" s="6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6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6"/>
      <c r="AJ46" s="6"/>
      <c r="AK46" s="6"/>
      <c r="AL46" s="6"/>
      <c r="AM46" s="6"/>
      <c r="AN46" s="6"/>
      <c r="AO46" s="6"/>
      <c r="AP46" s="14"/>
      <c r="AQ46" s="16">
        <v>0.5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2"/>
      <c r="BI46" s="2"/>
      <c r="BJ46" s="2"/>
      <c r="BK46" s="2"/>
      <c r="BL46" s="2"/>
      <c r="BM46" s="2"/>
    </row>
    <row r="47" spans="1:65" ht="31.5" x14ac:dyDescent="0.25">
      <c r="A47" s="2"/>
      <c r="B47" s="94" t="s">
        <v>105</v>
      </c>
      <c r="C47" s="13" t="s">
        <v>106</v>
      </c>
      <c r="D47" s="13" t="s">
        <v>107</v>
      </c>
      <c r="E47" s="21" t="s">
        <v>108</v>
      </c>
      <c r="F47" s="14" t="s">
        <v>62</v>
      </c>
      <c r="G47" s="6"/>
      <c r="H47" s="6"/>
      <c r="I47" s="14"/>
      <c r="J47" s="6"/>
      <c r="K47" s="14"/>
      <c r="L47" s="14"/>
      <c r="M47" s="6"/>
      <c r="O47" s="14"/>
      <c r="P47" s="14"/>
      <c r="Q47" s="14"/>
      <c r="R47" s="14"/>
      <c r="S47" s="14"/>
      <c r="T47" s="14"/>
      <c r="U47" s="15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16">
        <v>16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2"/>
      <c r="BI47" s="2"/>
      <c r="BJ47" s="2"/>
      <c r="BK47" s="2"/>
      <c r="BL47" s="2"/>
      <c r="BM47" s="2"/>
    </row>
    <row r="48" spans="1:65" ht="22.5" customHeight="1" x14ac:dyDescent="0.25">
      <c r="A48" s="2"/>
      <c r="B48" s="88"/>
      <c r="C48" s="13" t="s">
        <v>106</v>
      </c>
      <c r="D48" s="13" t="s">
        <v>107</v>
      </c>
      <c r="E48" s="26" t="s">
        <v>109</v>
      </c>
      <c r="F48" s="14" t="s">
        <v>65</v>
      </c>
      <c r="G48" s="6"/>
      <c r="H48" s="6"/>
      <c r="I48" s="14"/>
      <c r="J48" s="6"/>
      <c r="K48" s="14"/>
      <c r="L48" s="6"/>
      <c r="M48" s="6"/>
      <c r="N48" s="18">
        <v>4</v>
      </c>
      <c r="O48" s="14"/>
      <c r="P48" s="14"/>
      <c r="Q48" s="14"/>
      <c r="R48" s="14"/>
      <c r="S48" s="14"/>
      <c r="T48" s="14"/>
      <c r="U48" s="15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6"/>
      <c r="AH48" s="6"/>
      <c r="AI48" s="6"/>
      <c r="AJ48" s="6"/>
      <c r="AK48" s="6"/>
      <c r="AL48" s="6"/>
      <c r="AM48" s="6"/>
      <c r="AN48" s="6"/>
      <c r="AO48" s="6"/>
      <c r="AP48" s="18">
        <v>4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2"/>
      <c r="BI48" s="2"/>
      <c r="BJ48" s="2"/>
      <c r="BK48" s="2"/>
      <c r="BL48" s="2"/>
      <c r="BM48" s="2"/>
    </row>
    <row r="49" spans="1:65" ht="22.5" customHeight="1" x14ac:dyDescent="0.25">
      <c r="A49" s="2"/>
      <c r="B49" s="88"/>
      <c r="C49" s="13" t="s">
        <v>106</v>
      </c>
      <c r="D49" s="13" t="s">
        <v>107</v>
      </c>
      <c r="E49" s="21" t="s">
        <v>110</v>
      </c>
      <c r="F49" s="14" t="s">
        <v>62</v>
      </c>
      <c r="G49" s="6"/>
      <c r="H49" s="6"/>
      <c r="I49" s="14"/>
      <c r="J49" s="14"/>
      <c r="K49" s="14"/>
      <c r="L49" s="6"/>
      <c r="M49" s="27"/>
      <c r="N49" s="27"/>
      <c r="O49" s="14"/>
      <c r="P49" s="14"/>
      <c r="Q49" s="14"/>
      <c r="R49" s="14"/>
      <c r="S49" s="14"/>
      <c r="T49" s="14"/>
      <c r="U49" s="15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6"/>
      <c r="AH49" s="6"/>
      <c r="AI49" s="6"/>
      <c r="AJ49" s="6"/>
      <c r="AK49" s="6"/>
      <c r="AL49" s="6"/>
      <c r="AM49" s="6"/>
      <c r="AN49" s="6"/>
      <c r="AO49" s="28"/>
      <c r="AP49" s="27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29">
        <v>0.2</v>
      </c>
      <c r="BF49" s="6"/>
      <c r="BG49" s="6"/>
      <c r="BH49" s="2"/>
      <c r="BI49" s="2"/>
      <c r="BJ49" s="2"/>
      <c r="BK49" s="2"/>
      <c r="BL49" s="2"/>
      <c r="BM49" s="2"/>
    </row>
    <row r="50" spans="1:65" ht="22.5" customHeight="1" x14ac:dyDescent="0.25">
      <c r="A50" s="2"/>
      <c r="B50" s="88"/>
      <c r="C50" s="13" t="s">
        <v>106</v>
      </c>
      <c r="D50" s="13" t="s">
        <v>107</v>
      </c>
      <c r="E50" s="21" t="s">
        <v>74</v>
      </c>
      <c r="F50" s="14" t="s">
        <v>65</v>
      </c>
      <c r="G50" s="6"/>
      <c r="H50" s="6"/>
      <c r="I50" s="14"/>
      <c r="J50" s="14"/>
      <c r="K50" s="14"/>
      <c r="L50" s="6"/>
      <c r="M50" s="27"/>
      <c r="N50" s="27"/>
      <c r="O50" s="14"/>
      <c r="P50" s="14"/>
      <c r="Q50" s="14"/>
      <c r="R50" s="14"/>
      <c r="S50" s="14"/>
      <c r="T50" s="14"/>
      <c r="U50" s="15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6"/>
      <c r="AH50" s="18">
        <v>0.5</v>
      </c>
      <c r="AI50" s="6"/>
      <c r="AJ50" s="6"/>
      <c r="AK50" s="6"/>
      <c r="AL50" s="6"/>
      <c r="AM50" s="6"/>
      <c r="AN50" s="6"/>
      <c r="AO50" s="28"/>
      <c r="AP50" s="27"/>
      <c r="AQ50" s="6"/>
      <c r="AR50" s="6"/>
      <c r="AS50" s="6"/>
      <c r="AT50" s="6"/>
      <c r="AU50" s="6"/>
      <c r="AV50" s="6"/>
      <c r="AW50" s="6"/>
      <c r="AX50" s="6"/>
      <c r="AY50" s="6"/>
      <c r="AZ50" s="18">
        <v>0.5</v>
      </c>
      <c r="BA50" s="6"/>
      <c r="BB50" s="6"/>
      <c r="BC50" s="6"/>
      <c r="BD50" s="6"/>
      <c r="BE50" s="30"/>
      <c r="BF50" s="6"/>
      <c r="BG50" s="6"/>
      <c r="BH50" s="2"/>
      <c r="BI50" s="2"/>
      <c r="BJ50" s="2"/>
      <c r="BK50" s="2"/>
      <c r="BL50" s="2"/>
      <c r="BM50" s="2"/>
    </row>
    <row r="51" spans="1:65" ht="22.5" customHeight="1" x14ac:dyDescent="0.25">
      <c r="A51" s="2"/>
      <c r="B51" s="88"/>
      <c r="C51" s="13" t="s">
        <v>106</v>
      </c>
      <c r="D51" s="13" t="s">
        <v>107</v>
      </c>
      <c r="E51" s="21" t="s">
        <v>75</v>
      </c>
      <c r="F51" s="14" t="s">
        <v>65</v>
      </c>
      <c r="G51" s="6"/>
      <c r="H51" s="6"/>
      <c r="I51" s="14"/>
      <c r="J51" s="14"/>
      <c r="K51" s="14"/>
      <c r="L51" s="6"/>
      <c r="M51" s="27"/>
      <c r="N51" s="27"/>
      <c r="O51" s="14"/>
      <c r="P51" s="14"/>
      <c r="Q51" s="14"/>
      <c r="R51" s="14"/>
      <c r="S51" s="14"/>
      <c r="T51" s="14"/>
      <c r="U51" s="15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6"/>
      <c r="AH51" s="18">
        <v>0.5</v>
      </c>
      <c r="AI51" s="6"/>
      <c r="AJ51" s="6"/>
      <c r="AK51" s="6"/>
      <c r="AL51" s="6"/>
      <c r="AM51" s="6"/>
      <c r="AN51" s="6"/>
      <c r="AO51" s="28"/>
      <c r="AP51" s="27"/>
      <c r="AQ51" s="6"/>
      <c r="AR51" s="6"/>
      <c r="AS51" s="6"/>
      <c r="AT51" s="6"/>
      <c r="AU51" s="6"/>
      <c r="AV51" s="6"/>
      <c r="AW51" s="6"/>
      <c r="AX51" s="6"/>
      <c r="AY51" s="6"/>
      <c r="AZ51" s="18">
        <v>0.5</v>
      </c>
      <c r="BA51" s="6"/>
      <c r="BB51" s="6"/>
      <c r="BC51" s="6"/>
      <c r="BD51" s="6"/>
      <c r="BE51" s="30"/>
      <c r="BF51" s="6"/>
      <c r="BG51" s="6"/>
      <c r="BH51" s="2"/>
      <c r="BI51" s="2"/>
      <c r="BJ51" s="2"/>
      <c r="BK51" s="2"/>
      <c r="BL51" s="2"/>
      <c r="BM51" s="2"/>
    </row>
    <row r="52" spans="1:65" ht="22.5" customHeight="1" x14ac:dyDescent="0.25">
      <c r="A52" s="2"/>
      <c r="B52" s="89"/>
      <c r="C52" s="13" t="s">
        <v>106</v>
      </c>
      <c r="D52" s="13" t="s">
        <v>107</v>
      </c>
      <c r="E52" s="21" t="s">
        <v>90</v>
      </c>
      <c r="F52" s="14" t="s">
        <v>361</v>
      </c>
      <c r="G52" s="6"/>
      <c r="H52" s="6"/>
      <c r="I52" s="14"/>
      <c r="J52" s="14"/>
      <c r="K52" s="14"/>
      <c r="L52" s="6"/>
      <c r="M52" s="27"/>
      <c r="N52" s="27"/>
      <c r="O52" s="14"/>
      <c r="P52" s="14"/>
      <c r="Q52" s="14"/>
      <c r="R52" s="14"/>
      <c r="S52" s="14"/>
      <c r="T52" s="14"/>
      <c r="U52" s="15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6"/>
      <c r="AH52" s="6"/>
      <c r="AI52" s="6"/>
      <c r="AJ52" s="6"/>
      <c r="AK52" s="6"/>
      <c r="AL52" s="6"/>
      <c r="AM52" s="6"/>
      <c r="AN52" s="6"/>
      <c r="AO52" s="28"/>
      <c r="AP52" s="27"/>
      <c r="AQ52" s="23">
        <v>1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2"/>
      <c r="BI52" s="2"/>
      <c r="BJ52" s="2"/>
      <c r="BK52" s="2"/>
      <c r="BL52" s="2"/>
      <c r="BM52" s="2"/>
    </row>
    <row r="53" spans="1:65" ht="22.5" customHeight="1" x14ac:dyDescent="0.25">
      <c r="A53" s="2"/>
      <c r="B53" s="31"/>
      <c r="C53" s="12" t="s">
        <v>111</v>
      </c>
      <c r="D53" s="32" t="s">
        <v>112</v>
      </c>
      <c r="E53" s="33" t="s">
        <v>113</v>
      </c>
      <c r="F53" s="34" t="s">
        <v>65</v>
      </c>
      <c r="G53" s="6"/>
      <c r="H53" s="6"/>
      <c r="I53" s="14"/>
      <c r="J53" s="6"/>
      <c r="K53" s="14"/>
      <c r="L53" s="6"/>
      <c r="M53" s="14"/>
      <c r="N53" s="18">
        <v>0.5</v>
      </c>
      <c r="O53" s="14"/>
      <c r="P53" s="14"/>
      <c r="Q53" s="14"/>
      <c r="R53" s="14"/>
      <c r="S53" s="14"/>
      <c r="T53" s="14"/>
      <c r="U53" s="1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I53" s="6"/>
      <c r="AJ53" s="6"/>
      <c r="AK53" s="6"/>
      <c r="AL53" s="14"/>
      <c r="AM53" s="14"/>
      <c r="AN53" s="14"/>
      <c r="AO53" s="6"/>
      <c r="AP53" s="18">
        <v>0.5</v>
      </c>
      <c r="AQ53" s="15"/>
      <c r="AR53" s="6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5"/>
      <c r="BD53" s="14"/>
      <c r="BE53" s="14"/>
      <c r="BF53" s="14"/>
      <c r="BG53" s="14"/>
      <c r="BH53" s="2"/>
      <c r="BI53" s="2"/>
      <c r="BJ53" s="2"/>
      <c r="BK53" s="2"/>
      <c r="BL53" s="2"/>
      <c r="BM53" s="2"/>
    </row>
    <row r="54" spans="1:65" ht="22.5" customHeight="1" x14ac:dyDescent="0.25">
      <c r="A54" s="2"/>
      <c r="B54" s="31"/>
      <c r="C54" s="12" t="s">
        <v>111</v>
      </c>
      <c r="D54" s="32" t="s">
        <v>112</v>
      </c>
      <c r="E54" s="33" t="s">
        <v>114</v>
      </c>
      <c r="F54" s="34" t="s">
        <v>65</v>
      </c>
      <c r="G54" s="6"/>
      <c r="H54" s="6"/>
      <c r="I54" s="14"/>
      <c r="J54" s="6"/>
      <c r="K54" s="14"/>
      <c r="L54" s="6"/>
      <c r="M54" s="14"/>
      <c r="N54" s="18">
        <v>1</v>
      </c>
      <c r="O54" s="14"/>
      <c r="P54" s="14"/>
      <c r="Q54" s="14"/>
      <c r="R54" s="14"/>
      <c r="S54" s="14"/>
      <c r="T54" s="14"/>
      <c r="U54" s="1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I54" s="6"/>
      <c r="AJ54" s="6"/>
      <c r="AK54" s="6"/>
      <c r="AL54" s="14"/>
      <c r="AM54" s="14"/>
      <c r="AN54" s="14"/>
      <c r="AO54" s="6"/>
      <c r="AP54" s="18">
        <v>1</v>
      </c>
      <c r="AQ54" s="15"/>
      <c r="AR54" s="6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5"/>
      <c r="BD54" s="14"/>
      <c r="BE54" s="14"/>
      <c r="BF54" s="14"/>
      <c r="BG54" s="14"/>
      <c r="BH54" s="2"/>
      <c r="BI54" s="2"/>
      <c r="BJ54" s="2"/>
      <c r="BK54" s="2"/>
      <c r="BL54" s="2"/>
      <c r="BM54" s="2"/>
    </row>
    <row r="55" spans="1:65" ht="22.5" customHeight="1" thickBot="1" x14ac:dyDescent="0.3">
      <c r="A55" s="2"/>
      <c r="B55" s="31"/>
      <c r="C55" s="12" t="s">
        <v>115</v>
      </c>
      <c r="D55" s="12" t="s">
        <v>116</v>
      </c>
      <c r="E55" s="32" t="s">
        <v>117</v>
      </c>
      <c r="F55" s="34" t="s">
        <v>65</v>
      </c>
      <c r="G55" s="6"/>
      <c r="H55" s="6"/>
      <c r="I55" s="14"/>
      <c r="J55" s="14"/>
      <c r="K55" s="14"/>
      <c r="L55" s="14"/>
      <c r="M55" s="14"/>
      <c r="N55" s="18">
        <v>0.5</v>
      </c>
      <c r="O55" s="14"/>
      <c r="P55" s="14"/>
      <c r="Q55" s="14"/>
      <c r="R55" s="14"/>
      <c r="S55" s="14"/>
      <c r="T55" s="14"/>
      <c r="U55" s="14"/>
      <c r="V55" s="13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14"/>
      <c r="AI55" s="6"/>
      <c r="AJ55" s="6"/>
      <c r="AK55" s="6"/>
      <c r="AL55" s="14"/>
      <c r="AM55" s="14"/>
      <c r="AN55" s="14"/>
      <c r="AO55" s="6"/>
      <c r="AP55" s="18">
        <v>0.5</v>
      </c>
      <c r="AQ55" s="14"/>
      <c r="AR55" s="6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2"/>
      <c r="BI55" s="2"/>
      <c r="BJ55" s="2"/>
      <c r="BK55" s="2"/>
      <c r="BL55" s="2"/>
      <c r="BM55" s="2"/>
    </row>
    <row r="56" spans="1:65" ht="22.5" customHeight="1" thickBot="1" x14ac:dyDescent="0.3">
      <c r="A56" s="2"/>
      <c r="B56" s="31"/>
      <c r="C56" s="13" t="s">
        <v>118</v>
      </c>
      <c r="D56" s="13" t="s">
        <v>119</v>
      </c>
      <c r="E56" s="15" t="s">
        <v>120</v>
      </c>
      <c r="F56" s="14" t="s">
        <v>121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6"/>
      <c r="AB56" s="14"/>
      <c r="AC56" s="14"/>
      <c r="AD56" s="14"/>
      <c r="AE56" s="14"/>
      <c r="AF56" s="14"/>
      <c r="AG56" s="35">
        <v>0.5</v>
      </c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V56" s="14"/>
      <c r="AW56" s="14"/>
      <c r="AX56" s="14"/>
      <c r="AY56" s="14"/>
      <c r="AZ56" s="14"/>
      <c r="BA56" s="14"/>
      <c r="BB56" s="14"/>
      <c r="BC56" s="14"/>
      <c r="BD56" s="14"/>
      <c r="BE56" s="35">
        <v>0.5</v>
      </c>
      <c r="BF56" s="14"/>
      <c r="BG56" s="14"/>
      <c r="BH56" s="2"/>
      <c r="BI56" s="2"/>
      <c r="BJ56" s="2"/>
      <c r="BK56" s="2"/>
      <c r="BL56" s="2"/>
      <c r="BM56" s="2"/>
    </row>
    <row r="57" spans="1:65" ht="22.5" customHeight="1" thickBot="1" x14ac:dyDescent="0.3">
      <c r="A57" s="2"/>
      <c r="B57" s="31"/>
      <c r="C57" s="13" t="s">
        <v>122</v>
      </c>
      <c r="D57" s="13" t="s">
        <v>123</v>
      </c>
      <c r="E57" s="15" t="s">
        <v>120</v>
      </c>
      <c r="F57" s="14" t="s">
        <v>121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14"/>
      <c r="V57" s="36"/>
      <c r="W57" s="36"/>
      <c r="X57" s="36"/>
      <c r="Y57" s="36"/>
      <c r="Z57" s="36"/>
      <c r="AA57" s="6"/>
      <c r="AB57" s="36"/>
      <c r="AC57" s="36"/>
      <c r="AD57" s="36"/>
      <c r="AE57" s="36"/>
      <c r="AF57" s="36"/>
      <c r="AG57" s="35">
        <v>0.5</v>
      </c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V57" s="36"/>
      <c r="AW57" s="36"/>
      <c r="AX57" s="36"/>
      <c r="AY57" s="36"/>
      <c r="AZ57" s="36"/>
      <c r="BA57" s="36"/>
      <c r="BB57" s="36"/>
      <c r="BC57" s="36"/>
      <c r="BD57" s="36"/>
      <c r="BE57" s="35">
        <v>0.5</v>
      </c>
      <c r="BF57" s="36"/>
      <c r="BG57" s="37"/>
      <c r="BH57" s="2"/>
      <c r="BI57" s="2"/>
      <c r="BJ57" s="2"/>
      <c r="BK57" s="2"/>
      <c r="BL57" s="2"/>
      <c r="BM57" s="2"/>
    </row>
    <row r="58" spans="1:65" ht="22.5" customHeight="1" thickBot="1" x14ac:dyDescent="0.3">
      <c r="A58" s="2"/>
      <c r="B58" s="31"/>
      <c r="C58" s="13" t="s">
        <v>124</v>
      </c>
      <c r="D58" s="13" t="s">
        <v>125</v>
      </c>
      <c r="E58" s="15" t="s">
        <v>120</v>
      </c>
      <c r="F58" s="14" t="s">
        <v>121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V58" s="36"/>
      <c r="W58" s="36"/>
      <c r="X58" s="36"/>
      <c r="Y58" s="36"/>
      <c r="Z58" s="36"/>
      <c r="AA58" s="6"/>
      <c r="AB58" s="36"/>
      <c r="AC58" s="36"/>
      <c r="AD58" s="36"/>
      <c r="AE58" s="36"/>
      <c r="AF58" s="36"/>
      <c r="AG58" s="35">
        <v>0.5</v>
      </c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5">
        <v>0.5</v>
      </c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7"/>
      <c r="BH58" s="2"/>
      <c r="BI58" s="2"/>
      <c r="BJ58" s="2"/>
      <c r="BK58" s="2"/>
      <c r="BL58" s="2"/>
      <c r="BM58" s="2"/>
    </row>
    <row r="59" spans="1:65" ht="22.5" customHeight="1" thickBot="1" x14ac:dyDescent="0.3">
      <c r="A59" s="2"/>
      <c r="B59" s="31"/>
      <c r="C59" s="13" t="s">
        <v>126</v>
      </c>
      <c r="D59" s="13" t="s">
        <v>127</v>
      </c>
      <c r="E59" s="15" t="s">
        <v>120</v>
      </c>
      <c r="F59" s="36" t="s">
        <v>67</v>
      </c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6"/>
      <c r="AB59" s="36"/>
      <c r="AC59" s="36"/>
      <c r="AD59" s="36"/>
      <c r="AE59" s="36"/>
      <c r="AF59" s="36"/>
      <c r="AG59" s="38">
        <v>0.5</v>
      </c>
      <c r="AH59" s="36"/>
      <c r="AI59" s="36"/>
      <c r="AJ59" s="36"/>
      <c r="AK59" s="36"/>
      <c r="AL59" s="36"/>
      <c r="AM59" s="36"/>
      <c r="AN59" s="36"/>
      <c r="AO59" s="38">
        <v>0.5</v>
      </c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8">
        <v>0.5</v>
      </c>
      <c r="BF59" s="36"/>
      <c r="BG59" s="37"/>
      <c r="BH59" s="2"/>
      <c r="BI59" s="2"/>
      <c r="BJ59" s="2"/>
      <c r="BK59" s="2"/>
      <c r="BL59" s="2"/>
      <c r="BM59" s="2"/>
    </row>
    <row r="60" spans="1:65" ht="22.5" customHeight="1" thickBot="1" x14ac:dyDescent="0.3">
      <c r="A60" s="2"/>
      <c r="B60" s="31"/>
      <c r="C60" s="13" t="s">
        <v>128</v>
      </c>
      <c r="D60" s="13" t="s">
        <v>129</v>
      </c>
      <c r="E60" s="15" t="s">
        <v>120</v>
      </c>
      <c r="F60" s="36" t="s">
        <v>67</v>
      </c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6"/>
      <c r="AB60" s="36"/>
      <c r="AC60" s="36"/>
      <c r="AD60" s="36"/>
      <c r="AE60" s="36"/>
      <c r="AF60" s="36"/>
      <c r="AG60" s="38">
        <v>0.5</v>
      </c>
      <c r="AH60" s="36"/>
      <c r="AI60" s="36"/>
      <c r="AJ60" s="36"/>
      <c r="AK60" s="36"/>
      <c r="AL60" s="36"/>
      <c r="AM60" s="36"/>
      <c r="AN60" s="36"/>
      <c r="AO60" s="38">
        <v>0.5</v>
      </c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8">
        <v>0.5</v>
      </c>
      <c r="BF60" s="36"/>
      <c r="BG60" s="37"/>
      <c r="BH60" s="2"/>
      <c r="BI60" s="2"/>
      <c r="BJ60" s="2"/>
      <c r="BK60" s="2"/>
      <c r="BL60" s="2"/>
      <c r="BM60" s="2"/>
    </row>
    <row r="61" spans="1:65" ht="22.5" customHeight="1" thickBot="1" x14ac:dyDescent="0.3">
      <c r="A61" s="2"/>
      <c r="B61" s="31"/>
      <c r="C61" s="13" t="s">
        <v>130</v>
      </c>
      <c r="D61" s="13" t="s">
        <v>131</v>
      </c>
      <c r="E61" s="15" t="s">
        <v>120</v>
      </c>
      <c r="F61" s="36" t="s">
        <v>67</v>
      </c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6"/>
      <c r="AB61" s="36"/>
      <c r="AC61" s="36"/>
      <c r="AD61" s="36"/>
      <c r="AE61" s="36"/>
      <c r="AF61" s="36"/>
      <c r="AG61" s="38">
        <v>0.5</v>
      </c>
      <c r="AH61" s="36"/>
      <c r="AI61" s="36"/>
      <c r="AJ61" s="36"/>
      <c r="AK61" s="36"/>
      <c r="AL61" s="36"/>
      <c r="AM61" s="36"/>
      <c r="AN61" s="36"/>
      <c r="AO61" s="38">
        <v>0.5</v>
      </c>
      <c r="AP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8">
        <v>0.5</v>
      </c>
      <c r="BF61" s="36"/>
      <c r="BG61" s="37"/>
      <c r="BH61" s="2"/>
      <c r="BI61" s="2"/>
      <c r="BJ61" s="2"/>
      <c r="BK61" s="2"/>
      <c r="BL61" s="2"/>
      <c r="BM61" s="2"/>
    </row>
    <row r="62" spans="1:65" ht="22.5" customHeight="1" thickBot="1" x14ac:dyDescent="0.3">
      <c r="A62" s="2"/>
      <c r="B62" s="31"/>
      <c r="C62" s="13" t="s">
        <v>132</v>
      </c>
      <c r="D62" s="13" t="s">
        <v>133</v>
      </c>
      <c r="E62" s="15" t="s">
        <v>120</v>
      </c>
      <c r="F62" s="36" t="s">
        <v>67</v>
      </c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9"/>
      <c r="V62" s="36"/>
      <c r="W62" s="36"/>
      <c r="X62" s="36"/>
      <c r="Y62" s="36"/>
      <c r="Z62" s="36"/>
      <c r="AA62" s="6"/>
      <c r="AB62" s="36"/>
      <c r="AC62" s="36"/>
      <c r="AD62" s="36"/>
      <c r="AE62" s="36"/>
      <c r="AF62" s="36"/>
      <c r="AG62" s="38">
        <v>0.5</v>
      </c>
      <c r="AH62" s="36"/>
      <c r="AI62" s="36"/>
      <c r="AJ62" s="36"/>
      <c r="AK62" s="36"/>
      <c r="AL62" s="36"/>
      <c r="AM62" s="36"/>
      <c r="AN62" s="36"/>
      <c r="AO62" s="38">
        <v>0.5</v>
      </c>
      <c r="AP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8">
        <v>0.5</v>
      </c>
      <c r="BF62" s="36"/>
      <c r="BG62" s="37"/>
      <c r="BH62" s="2"/>
      <c r="BI62" s="2"/>
      <c r="BJ62" s="2"/>
      <c r="BK62" s="2"/>
      <c r="BL62" s="2"/>
      <c r="BM62" s="2"/>
    </row>
    <row r="63" spans="1:65" ht="22.5" customHeight="1" thickBot="1" x14ac:dyDescent="0.3">
      <c r="A63" s="2"/>
      <c r="B63" s="31"/>
      <c r="C63" s="13" t="s">
        <v>134</v>
      </c>
      <c r="D63" s="13" t="s">
        <v>135</v>
      </c>
      <c r="E63" s="15" t="s">
        <v>120</v>
      </c>
      <c r="F63" s="36" t="s">
        <v>67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9"/>
      <c r="V63" s="36"/>
      <c r="W63" s="36"/>
      <c r="X63" s="36"/>
      <c r="Y63" s="36"/>
      <c r="Z63" s="36"/>
      <c r="AA63" s="6"/>
      <c r="AB63" s="36"/>
      <c r="AC63" s="36"/>
      <c r="AD63" s="36"/>
      <c r="AE63" s="36"/>
      <c r="AF63" s="36"/>
      <c r="AG63" s="40">
        <v>0.5</v>
      </c>
      <c r="AH63" s="36"/>
      <c r="AI63" s="36"/>
      <c r="AJ63" s="36"/>
      <c r="AK63" s="36"/>
      <c r="AL63" s="36"/>
      <c r="AM63" s="36"/>
      <c r="AN63" s="36"/>
      <c r="AO63" s="38">
        <v>0.5</v>
      </c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8">
        <v>0.5</v>
      </c>
      <c r="BF63" s="36"/>
      <c r="BG63" s="37"/>
      <c r="BH63" s="2"/>
      <c r="BI63" s="2"/>
      <c r="BJ63" s="2"/>
      <c r="BK63" s="2"/>
      <c r="BL63" s="2"/>
      <c r="BM63" s="2"/>
    </row>
    <row r="64" spans="1:65" ht="45" customHeight="1" thickBot="1" x14ac:dyDescent="0.3">
      <c r="A64" s="2"/>
      <c r="B64" s="41"/>
      <c r="C64" s="42" t="s">
        <v>136</v>
      </c>
      <c r="D64" s="42" t="s">
        <v>137</v>
      </c>
      <c r="E64" s="42" t="s">
        <v>138</v>
      </c>
      <c r="F64" s="43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5"/>
      <c r="BH64" s="46"/>
      <c r="BI64" s="46"/>
      <c r="BJ64" s="46"/>
      <c r="BK64" s="46"/>
      <c r="BL64" s="46"/>
      <c r="BM64" s="46"/>
    </row>
    <row r="65" spans="1:65" ht="22.5" customHeight="1" x14ac:dyDescent="0.25">
      <c r="A65" s="2"/>
      <c r="B65" s="90" t="s">
        <v>137</v>
      </c>
      <c r="C65" s="47" t="s">
        <v>136</v>
      </c>
      <c r="D65" s="47" t="s">
        <v>137</v>
      </c>
      <c r="E65" s="47" t="s">
        <v>139</v>
      </c>
      <c r="F65" s="13" t="s">
        <v>140</v>
      </c>
      <c r="G65" s="13">
        <v>1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46"/>
      <c r="BI65" s="46"/>
      <c r="BJ65" s="46"/>
      <c r="BK65" s="46"/>
      <c r="BL65" s="46"/>
      <c r="BM65" s="46"/>
    </row>
    <row r="66" spans="1:65" ht="22.5" customHeight="1" x14ac:dyDescent="0.25">
      <c r="A66" s="2"/>
      <c r="B66" s="88"/>
      <c r="C66" s="47" t="s">
        <v>136</v>
      </c>
      <c r="D66" s="47" t="s">
        <v>137</v>
      </c>
      <c r="E66" s="47" t="s">
        <v>141</v>
      </c>
      <c r="F66" s="13" t="s">
        <v>140</v>
      </c>
      <c r="G66" s="13">
        <v>1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46"/>
      <c r="BI66" s="46"/>
      <c r="BJ66" s="46"/>
      <c r="BK66" s="46"/>
      <c r="BL66" s="46"/>
      <c r="BM66" s="46"/>
    </row>
    <row r="67" spans="1:65" ht="22.5" customHeight="1" x14ac:dyDescent="0.25">
      <c r="A67" s="2"/>
      <c r="B67" s="88"/>
      <c r="C67" s="47" t="s">
        <v>136</v>
      </c>
      <c r="D67" s="47" t="s">
        <v>137</v>
      </c>
      <c r="E67" s="47" t="s">
        <v>142</v>
      </c>
      <c r="F67" s="13" t="s">
        <v>140</v>
      </c>
      <c r="G67" s="13">
        <v>1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46"/>
      <c r="BI67" s="46"/>
      <c r="BJ67" s="46"/>
      <c r="BK67" s="46"/>
      <c r="BL67" s="46"/>
      <c r="BM67" s="46"/>
    </row>
    <row r="68" spans="1:65" ht="22.5" customHeight="1" x14ac:dyDescent="0.25">
      <c r="A68" s="2"/>
      <c r="B68" s="88"/>
      <c r="C68" s="47" t="s">
        <v>136</v>
      </c>
      <c r="D68" s="47" t="s">
        <v>137</v>
      </c>
      <c r="E68" s="47" t="s">
        <v>143</v>
      </c>
      <c r="F68" s="13" t="s">
        <v>140</v>
      </c>
      <c r="G68" s="13">
        <v>1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46"/>
      <c r="BI68" s="46"/>
      <c r="BJ68" s="46"/>
      <c r="BK68" s="46"/>
      <c r="BL68" s="46"/>
      <c r="BM68" s="46"/>
    </row>
    <row r="69" spans="1:65" ht="22.5" customHeight="1" x14ac:dyDescent="0.25">
      <c r="A69" s="2"/>
      <c r="B69" s="88"/>
      <c r="C69" s="47" t="s">
        <v>136</v>
      </c>
      <c r="D69" s="47" t="s">
        <v>137</v>
      </c>
      <c r="E69" s="47" t="s">
        <v>144</v>
      </c>
      <c r="F69" s="13" t="s">
        <v>140</v>
      </c>
      <c r="G69" s="13">
        <v>1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46"/>
      <c r="BI69" s="46"/>
      <c r="BJ69" s="46"/>
      <c r="BK69" s="46"/>
      <c r="BL69" s="46"/>
      <c r="BM69" s="46"/>
    </row>
    <row r="70" spans="1:65" ht="22.5" customHeight="1" x14ac:dyDescent="0.25">
      <c r="A70" s="2"/>
      <c r="B70" s="88"/>
      <c r="C70" s="47" t="s">
        <v>136</v>
      </c>
      <c r="D70" s="47" t="s">
        <v>137</v>
      </c>
      <c r="E70" s="47" t="s">
        <v>145</v>
      </c>
      <c r="F70" s="13" t="s">
        <v>140</v>
      </c>
      <c r="G70" s="13">
        <v>2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46"/>
      <c r="BI70" s="46"/>
      <c r="BJ70" s="46"/>
      <c r="BK70" s="46"/>
      <c r="BL70" s="46"/>
      <c r="BM70" s="46"/>
    </row>
    <row r="71" spans="1:65" ht="22.5" customHeight="1" x14ac:dyDescent="0.25">
      <c r="A71" s="2"/>
      <c r="B71" s="88"/>
      <c r="C71" s="47" t="s">
        <v>136</v>
      </c>
      <c r="D71" s="47" t="s">
        <v>137</v>
      </c>
      <c r="E71" s="47" t="s">
        <v>146</v>
      </c>
      <c r="F71" s="13" t="s">
        <v>140</v>
      </c>
      <c r="G71" s="13">
        <v>6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46"/>
      <c r="BI71" s="46"/>
      <c r="BJ71" s="46"/>
      <c r="BK71" s="46"/>
      <c r="BL71" s="46"/>
      <c r="BM71" s="46"/>
    </row>
    <row r="72" spans="1:65" ht="22.5" customHeight="1" x14ac:dyDescent="0.25">
      <c r="A72" s="2"/>
      <c r="B72" s="88"/>
      <c r="C72" s="47" t="s">
        <v>147</v>
      </c>
      <c r="D72" s="47" t="s">
        <v>137</v>
      </c>
      <c r="E72" s="47" t="s">
        <v>148</v>
      </c>
      <c r="F72" s="13" t="s">
        <v>140</v>
      </c>
      <c r="G72" s="13">
        <v>6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46"/>
      <c r="BI72" s="46"/>
      <c r="BJ72" s="46"/>
      <c r="BK72" s="46"/>
      <c r="BL72" s="46"/>
      <c r="BM72" s="46"/>
    </row>
    <row r="73" spans="1:65" ht="22.5" customHeight="1" x14ac:dyDescent="0.25">
      <c r="A73" s="2"/>
      <c r="B73" s="88"/>
      <c r="C73" s="47" t="s">
        <v>136</v>
      </c>
      <c r="D73" s="47" t="s">
        <v>137</v>
      </c>
      <c r="E73" s="47" t="s">
        <v>149</v>
      </c>
      <c r="F73" s="13" t="s">
        <v>140</v>
      </c>
      <c r="G73" s="13">
        <v>6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46"/>
      <c r="BI73" s="46"/>
      <c r="BJ73" s="46"/>
      <c r="BK73" s="46"/>
      <c r="BL73" s="46"/>
      <c r="BM73" s="46"/>
    </row>
    <row r="74" spans="1:65" ht="22.5" customHeight="1" x14ac:dyDescent="0.25">
      <c r="A74" s="2"/>
      <c r="B74" s="88"/>
      <c r="C74" s="47" t="s">
        <v>150</v>
      </c>
      <c r="D74" s="47" t="s">
        <v>137</v>
      </c>
      <c r="E74" s="47" t="s">
        <v>151</v>
      </c>
      <c r="F74" s="13" t="s">
        <v>140</v>
      </c>
      <c r="G74" s="13">
        <v>6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46"/>
      <c r="BI74" s="46"/>
      <c r="BJ74" s="46"/>
      <c r="BK74" s="46"/>
      <c r="BL74" s="46"/>
      <c r="BM74" s="46"/>
    </row>
    <row r="75" spans="1:65" ht="22.5" customHeight="1" x14ac:dyDescent="0.25">
      <c r="A75" s="2"/>
      <c r="B75" s="88"/>
      <c r="C75" s="47" t="s">
        <v>136</v>
      </c>
      <c r="D75" s="47" t="s">
        <v>137</v>
      </c>
      <c r="E75" s="47" t="s">
        <v>152</v>
      </c>
      <c r="F75" s="13" t="s">
        <v>140</v>
      </c>
      <c r="G75" s="13">
        <v>1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46"/>
      <c r="BI75" s="46"/>
      <c r="BJ75" s="46"/>
      <c r="BK75" s="46"/>
      <c r="BL75" s="46"/>
      <c r="BM75" s="46"/>
    </row>
    <row r="76" spans="1:65" ht="22.5" customHeight="1" x14ac:dyDescent="0.25">
      <c r="A76" s="2"/>
      <c r="B76" s="88"/>
      <c r="C76" s="47" t="s">
        <v>136</v>
      </c>
      <c r="D76" s="47" t="s">
        <v>137</v>
      </c>
      <c r="E76" s="47" t="s">
        <v>153</v>
      </c>
      <c r="F76" s="13" t="s">
        <v>140</v>
      </c>
      <c r="G76" s="13">
        <v>1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46"/>
      <c r="BI76" s="46"/>
      <c r="BJ76" s="46"/>
      <c r="BK76" s="46"/>
      <c r="BL76" s="46"/>
      <c r="BM76" s="46"/>
    </row>
    <row r="77" spans="1:65" ht="22.5" customHeight="1" x14ac:dyDescent="0.25">
      <c r="A77" s="2"/>
      <c r="B77" s="88"/>
      <c r="C77" s="47" t="s">
        <v>136</v>
      </c>
      <c r="D77" s="47" t="s">
        <v>137</v>
      </c>
      <c r="E77" s="47" t="s">
        <v>154</v>
      </c>
      <c r="F77" s="13" t="s">
        <v>140</v>
      </c>
      <c r="G77" s="13">
        <v>1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46"/>
      <c r="BI77" s="46"/>
      <c r="BJ77" s="46"/>
      <c r="BK77" s="46"/>
      <c r="BL77" s="46"/>
      <c r="BM77" s="46"/>
    </row>
    <row r="78" spans="1:65" ht="22.5" customHeight="1" x14ac:dyDescent="0.25">
      <c r="A78" s="2"/>
      <c r="B78" s="88"/>
      <c r="C78" s="47" t="s">
        <v>136</v>
      </c>
      <c r="D78" s="47" t="s">
        <v>137</v>
      </c>
      <c r="E78" s="47" t="s">
        <v>155</v>
      </c>
      <c r="F78" s="13" t="s">
        <v>140</v>
      </c>
      <c r="G78" s="13">
        <v>1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46"/>
      <c r="BI78" s="46"/>
      <c r="BJ78" s="46"/>
      <c r="BK78" s="46"/>
      <c r="BL78" s="46"/>
      <c r="BM78" s="46"/>
    </row>
    <row r="79" spans="1:65" ht="22.5" customHeight="1" x14ac:dyDescent="0.25">
      <c r="A79" s="2"/>
      <c r="B79" s="88"/>
      <c r="C79" s="47" t="s">
        <v>136</v>
      </c>
      <c r="D79" s="47" t="s">
        <v>137</v>
      </c>
      <c r="E79" s="47" t="s">
        <v>156</v>
      </c>
      <c r="F79" s="13" t="s">
        <v>140</v>
      </c>
      <c r="G79" s="13">
        <v>1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46"/>
      <c r="BI79" s="46"/>
      <c r="BJ79" s="46"/>
      <c r="BK79" s="46"/>
      <c r="BL79" s="46"/>
      <c r="BM79" s="46"/>
    </row>
    <row r="80" spans="1:65" ht="22.5" customHeight="1" x14ac:dyDescent="0.25">
      <c r="A80" s="2"/>
      <c r="B80" s="88"/>
      <c r="C80" s="47" t="s">
        <v>136</v>
      </c>
      <c r="D80" s="47" t="s">
        <v>137</v>
      </c>
      <c r="E80" s="47" t="s">
        <v>157</v>
      </c>
      <c r="F80" s="13" t="s">
        <v>140</v>
      </c>
      <c r="G80" s="13">
        <v>1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46"/>
      <c r="BI80" s="46"/>
      <c r="BJ80" s="46"/>
      <c r="BK80" s="46"/>
      <c r="BL80" s="46"/>
      <c r="BM80" s="46"/>
    </row>
    <row r="81" spans="1:65" ht="22.5" customHeight="1" x14ac:dyDescent="0.25">
      <c r="A81" s="2"/>
      <c r="B81" s="88"/>
      <c r="C81" s="47" t="s">
        <v>136</v>
      </c>
      <c r="D81" s="47" t="s">
        <v>137</v>
      </c>
      <c r="E81" s="47" t="s">
        <v>158</v>
      </c>
      <c r="F81" s="13" t="s">
        <v>140</v>
      </c>
      <c r="G81" s="13">
        <v>1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46"/>
      <c r="BI81" s="46"/>
      <c r="BJ81" s="46"/>
      <c r="BK81" s="46"/>
      <c r="BL81" s="46"/>
      <c r="BM81" s="46"/>
    </row>
    <row r="82" spans="1:65" ht="22.5" customHeight="1" x14ac:dyDescent="0.25">
      <c r="A82" s="2"/>
      <c r="B82" s="88"/>
      <c r="C82" s="47" t="s">
        <v>136</v>
      </c>
      <c r="D82" s="47" t="s">
        <v>137</v>
      </c>
      <c r="E82" s="47" t="s">
        <v>159</v>
      </c>
      <c r="F82" s="13" t="s">
        <v>140</v>
      </c>
      <c r="G82" s="13">
        <v>1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46"/>
      <c r="BI82" s="46"/>
      <c r="BJ82" s="46"/>
      <c r="BK82" s="46"/>
      <c r="BL82" s="46"/>
      <c r="BM82" s="46"/>
    </row>
    <row r="83" spans="1:65" ht="22.5" customHeight="1" x14ac:dyDescent="0.25">
      <c r="A83" s="2"/>
      <c r="B83" s="88"/>
      <c r="C83" s="47" t="s">
        <v>136</v>
      </c>
      <c r="D83" s="47" t="s">
        <v>137</v>
      </c>
      <c r="E83" s="47" t="s">
        <v>160</v>
      </c>
      <c r="F83" s="13" t="s">
        <v>140</v>
      </c>
      <c r="G83" s="13">
        <v>1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46"/>
      <c r="BI83" s="46"/>
      <c r="BJ83" s="46"/>
      <c r="BK83" s="46"/>
      <c r="BL83" s="46"/>
      <c r="BM83" s="46"/>
    </row>
    <row r="84" spans="1:65" ht="22.5" customHeight="1" x14ac:dyDescent="0.25">
      <c r="A84" s="2"/>
      <c r="B84" s="89"/>
      <c r="C84" s="47" t="s">
        <v>136</v>
      </c>
      <c r="D84" s="47" t="s">
        <v>137</v>
      </c>
      <c r="E84" s="47" t="s">
        <v>161</v>
      </c>
      <c r="F84" s="13" t="s">
        <v>140</v>
      </c>
      <c r="G84" s="13" t="s">
        <v>63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46"/>
      <c r="BI84" s="46"/>
      <c r="BJ84" s="46"/>
      <c r="BK84" s="46"/>
      <c r="BL84" s="46"/>
      <c r="BM84" s="46"/>
    </row>
    <row r="85" spans="1:65" ht="45" customHeight="1" x14ac:dyDescent="0.25">
      <c r="A85" s="2"/>
      <c r="B85" s="41"/>
      <c r="C85" s="48" t="s">
        <v>162</v>
      </c>
      <c r="D85" s="42" t="s">
        <v>163</v>
      </c>
      <c r="E85" s="42" t="s">
        <v>164</v>
      </c>
      <c r="F85" s="43"/>
      <c r="G85" s="44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46"/>
      <c r="BI85" s="46"/>
      <c r="BJ85" s="46"/>
      <c r="BK85" s="46"/>
      <c r="BL85" s="46"/>
      <c r="BM85" s="46"/>
    </row>
    <row r="86" spans="1:65" ht="22.5" customHeight="1" x14ac:dyDescent="0.25">
      <c r="A86" s="2"/>
      <c r="B86" s="87" t="s">
        <v>163</v>
      </c>
      <c r="C86" s="42" t="s">
        <v>162</v>
      </c>
      <c r="D86" s="42" t="s">
        <v>163</v>
      </c>
      <c r="E86" s="42" t="s">
        <v>165</v>
      </c>
      <c r="F86" s="44" t="s">
        <v>166</v>
      </c>
      <c r="G86" s="44">
        <v>1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46"/>
      <c r="BI86" s="46"/>
      <c r="BJ86" s="46"/>
      <c r="BK86" s="46"/>
      <c r="BL86" s="46"/>
      <c r="BM86" s="46"/>
    </row>
    <row r="87" spans="1:65" ht="22.5" customHeight="1" x14ac:dyDescent="0.25">
      <c r="A87" s="2"/>
      <c r="B87" s="88"/>
      <c r="C87" s="42" t="s">
        <v>162</v>
      </c>
      <c r="D87" s="42" t="s">
        <v>163</v>
      </c>
      <c r="E87" s="42" t="s">
        <v>167</v>
      </c>
      <c r="F87" s="44" t="s">
        <v>168</v>
      </c>
      <c r="G87" s="44">
        <v>6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46"/>
      <c r="BI87" s="46"/>
      <c r="BJ87" s="46"/>
      <c r="BK87" s="46"/>
      <c r="BL87" s="46"/>
      <c r="BM87" s="46"/>
    </row>
    <row r="88" spans="1:65" ht="22.5" customHeight="1" x14ac:dyDescent="0.25">
      <c r="A88" s="2"/>
      <c r="B88" s="88"/>
      <c r="C88" s="42" t="s">
        <v>162</v>
      </c>
      <c r="D88" s="42" t="s">
        <v>163</v>
      </c>
      <c r="E88" s="42" t="s">
        <v>169</v>
      </c>
      <c r="F88" s="44" t="s">
        <v>166</v>
      </c>
      <c r="G88" s="44">
        <v>2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46"/>
      <c r="BI88" s="46"/>
      <c r="BJ88" s="46"/>
      <c r="BK88" s="46"/>
      <c r="BL88" s="46"/>
      <c r="BM88" s="46"/>
    </row>
    <row r="89" spans="1:65" ht="22.5" customHeight="1" x14ac:dyDescent="0.25">
      <c r="A89" s="2"/>
      <c r="B89" s="88"/>
      <c r="C89" s="42" t="s">
        <v>162</v>
      </c>
      <c r="D89" s="42" t="s">
        <v>163</v>
      </c>
      <c r="E89" s="42" t="s">
        <v>170</v>
      </c>
      <c r="F89" s="44" t="s">
        <v>166</v>
      </c>
      <c r="G89" s="44">
        <v>2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46"/>
      <c r="BI89" s="46"/>
      <c r="BJ89" s="46"/>
      <c r="BK89" s="46"/>
      <c r="BL89" s="46"/>
      <c r="BM89" s="46"/>
    </row>
    <row r="90" spans="1:65" ht="22.5" customHeight="1" x14ac:dyDescent="0.25">
      <c r="A90" s="2"/>
      <c r="B90" s="88"/>
      <c r="C90" s="42" t="s">
        <v>162</v>
      </c>
      <c r="D90" s="42" t="s">
        <v>163</v>
      </c>
      <c r="E90" s="42" t="s">
        <v>171</v>
      </c>
      <c r="F90" s="44" t="s">
        <v>166</v>
      </c>
      <c r="G90" s="44">
        <v>1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46"/>
      <c r="BI90" s="46"/>
      <c r="BJ90" s="46"/>
      <c r="BK90" s="46"/>
      <c r="BL90" s="46"/>
      <c r="BM90" s="46"/>
    </row>
    <row r="91" spans="1:65" ht="22.5" customHeight="1" x14ac:dyDescent="0.25">
      <c r="A91" s="2"/>
      <c r="B91" s="88"/>
      <c r="C91" s="42" t="s">
        <v>162</v>
      </c>
      <c r="D91" s="42" t="s">
        <v>163</v>
      </c>
      <c r="E91" s="42" t="s">
        <v>172</v>
      </c>
      <c r="F91" s="44" t="s">
        <v>166</v>
      </c>
      <c r="G91" s="44">
        <v>2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46"/>
      <c r="BI91" s="46"/>
      <c r="BJ91" s="46"/>
      <c r="BK91" s="46"/>
      <c r="BL91" s="46"/>
      <c r="BM91" s="46"/>
    </row>
    <row r="92" spans="1:65" ht="22.5" customHeight="1" x14ac:dyDescent="0.25">
      <c r="A92" s="2"/>
      <c r="B92" s="88"/>
      <c r="C92" s="42" t="s">
        <v>162</v>
      </c>
      <c r="D92" s="42" t="s">
        <v>163</v>
      </c>
      <c r="E92" s="42" t="s">
        <v>173</v>
      </c>
      <c r="F92" s="44" t="s">
        <v>62</v>
      </c>
      <c r="G92" s="44">
        <v>2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46"/>
      <c r="BI92" s="46"/>
      <c r="BJ92" s="46"/>
      <c r="BK92" s="46"/>
      <c r="BL92" s="46"/>
      <c r="BM92" s="46"/>
    </row>
    <row r="93" spans="1:65" ht="22.5" customHeight="1" x14ac:dyDescent="0.25">
      <c r="A93" s="2"/>
      <c r="B93" s="88"/>
      <c r="C93" s="42" t="s">
        <v>162</v>
      </c>
      <c r="D93" s="42" t="s">
        <v>163</v>
      </c>
      <c r="E93" s="42" t="s">
        <v>174</v>
      </c>
      <c r="F93" s="44" t="s">
        <v>65</v>
      </c>
      <c r="G93" s="44">
        <v>6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46"/>
      <c r="BI93" s="46"/>
      <c r="BJ93" s="46"/>
      <c r="BK93" s="46"/>
      <c r="BL93" s="46"/>
      <c r="BM93" s="46"/>
    </row>
    <row r="94" spans="1:65" ht="22.5" customHeight="1" x14ac:dyDescent="0.25">
      <c r="A94" s="2"/>
      <c r="B94" s="89"/>
      <c r="C94" s="42" t="s">
        <v>162</v>
      </c>
      <c r="D94" s="42" t="s">
        <v>163</v>
      </c>
      <c r="E94" s="42" t="s">
        <v>175</v>
      </c>
      <c r="F94" s="44" t="s">
        <v>62</v>
      </c>
      <c r="G94" s="44">
        <v>1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46"/>
      <c r="BI94" s="46"/>
      <c r="BJ94" s="46"/>
      <c r="BK94" s="46"/>
      <c r="BL94" s="46"/>
      <c r="BM94" s="46"/>
    </row>
    <row r="95" spans="1:65" ht="45" customHeight="1" x14ac:dyDescent="0.25">
      <c r="A95" s="2"/>
      <c r="B95" s="41"/>
      <c r="C95" s="42" t="s">
        <v>176</v>
      </c>
      <c r="D95" s="42" t="s">
        <v>177</v>
      </c>
      <c r="E95" s="42" t="s">
        <v>178</v>
      </c>
      <c r="F95" s="43"/>
      <c r="G95" s="44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46"/>
      <c r="BI95" s="46"/>
      <c r="BJ95" s="46"/>
      <c r="BK95" s="46"/>
      <c r="BL95" s="46"/>
      <c r="BM95" s="46"/>
    </row>
    <row r="96" spans="1:65" ht="49.5" customHeight="1" x14ac:dyDescent="0.25">
      <c r="A96" s="2"/>
      <c r="B96" s="90" t="s">
        <v>177</v>
      </c>
      <c r="C96" s="42" t="s">
        <v>176</v>
      </c>
      <c r="D96" s="42" t="s">
        <v>177</v>
      </c>
      <c r="E96" s="42" t="s">
        <v>179</v>
      </c>
      <c r="F96" s="44" t="s">
        <v>166</v>
      </c>
      <c r="G96" s="44">
        <v>2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46"/>
      <c r="BI96" s="46"/>
      <c r="BJ96" s="46"/>
      <c r="BK96" s="46"/>
      <c r="BL96" s="46"/>
      <c r="BM96" s="46"/>
    </row>
    <row r="97" spans="1:65" ht="77.25" customHeight="1" x14ac:dyDescent="0.25">
      <c r="A97" s="2"/>
      <c r="B97" s="88"/>
      <c r="C97" s="42" t="s">
        <v>176</v>
      </c>
      <c r="D97" s="42" t="s">
        <v>177</v>
      </c>
      <c r="E97" s="42" t="s">
        <v>180</v>
      </c>
      <c r="F97" s="44" t="s">
        <v>166</v>
      </c>
      <c r="G97" s="44">
        <v>1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46"/>
      <c r="BI97" s="46"/>
      <c r="BJ97" s="46"/>
      <c r="BK97" s="46"/>
      <c r="BL97" s="46"/>
      <c r="BM97" s="46"/>
    </row>
    <row r="98" spans="1:65" ht="45.75" customHeight="1" x14ac:dyDescent="0.25">
      <c r="A98" s="2"/>
      <c r="B98" s="88"/>
      <c r="C98" s="42" t="s">
        <v>176</v>
      </c>
      <c r="D98" s="42" t="s">
        <v>177</v>
      </c>
      <c r="E98" s="42" t="s">
        <v>181</v>
      </c>
      <c r="F98" s="44" t="s">
        <v>166</v>
      </c>
      <c r="G98" s="44" t="s">
        <v>63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46"/>
      <c r="BI98" s="46"/>
      <c r="BJ98" s="46"/>
      <c r="BK98" s="46"/>
      <c r="BL98" s="46"/>
      <c r="BM98" s="46"/>
    </row>
    <row r="99" spans="1:65" ht="22.5" customHeight="1" x14ac:dyDescent="0.25">
      <c r="A99" s="2"/>
      <c r="B99" s="88"/>
      <c r="C99" s="42" t="s">
        <v>176</v>
      </c>
      <c r="D99" s="42" t="s">
        <v>177</v>
      </c>
      <c r="E99" s="42" t="s">
        <v>182</v>
      </c>
      <c r="F99" s="44" t="s">
        <v>168</v>
      </c>
      <c r="G99" s="44">
        <v>1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46"/>
      <c r="BI99" s="46"/>
      <c r="BJ99" s="46"/>
      <c r="BK99" s="46"/>
      <c r="BL99" s="46"/>
      <c r="BM99" s="46"/>
    </row>
    <row r="100" spans="1:65" ht="22.5" customHeight="1" x14ac:dyDescent="0.25">
      <c r="A100" s="2"/>
      <c r="B100" s="88"/>
      <c r="C100" s="42" t="s">
        <v>176</v>
      </c>
      <c r="D100" s="42" t="s">
        <v>177</v>
      </c>
      <c r="E100" s="42" t="s">
        <v>183</v>
      </c>
      <c r="F100" s="44" t="s">
        <v>168</v>
      </c>
      <c r="G100" s="44">
        <v>1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46"/>
      <c r="BI100" s="46"/>
      <c r="BJ100" s="46"/>
      <c r="BK100" s="46"/>
      <c r="BL100" s="46"/>
      <c r="BM100" s="46"/>
    </row>
    <row r="101" spans="1:65" ht="22.5" customHeight="1" x14ac:dyDescent="0.25">
      <c r="A101" s="2"/>
      <c r="B101" s="88"/>
      <c r="C101" s="42" t="s">
        <v>176</v>
      </c>
      <c r="D101" s="42" t="s">
        <v>177</v>
      </c>
      <c r="E101" s="42" t="s">
        <v>184</v>
      </c>
      <c r="F101" s="44" t="s">
        <v>168</v>
      </c>
      <c r="G101" s="44">
        <v>2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46"/>
      <c r="BI101" s="46"/>
      <c r="BJ101" s="46"/>
      <c r="BK101" s="46"/>
      <c r="BL101" s="46"/>
      <c r="BM101" s="46"/>
    </row>
    <row r="102" spans="1:65" ht="22.5" customHeight="1" x14ac:dyDescent="0.25">
      <c r="A102" s="2"/>
      <c r="B102" s="88"/>
      <c r="C102" s="42" t="s">
        <v>176</v>
      </c>
      <c r="D102" s="42" t="s">
        <v>177</v>
      </c>
      <c r="E102" s="42" t="s">
        <v>185</v>
      </c>
      <c r="F102" s="44" t="s">
        <v>166</v>
      </c>
      <c r="G102" s="44">
        <v>2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46"/>
      <c r="BI102" s="46"/>
      <c r="BJ102" s="46"/>
      <c r="BK102" s="46"/>
      <c r="BL102" s="46"/>
      <c r="BM102" s="46"/>
    </row>
    <row r="103" spans="1:65" ht="22.5" customHeight="1" x14ac:dyDescent="0.25">
      <c r="A103" s="2"/>
      <c r="B103" s="88"/>
      <c r="C103" s="42" t="s">
        <v>176</v>
      </c>
      <c r="D103" s="42" t="s">
        <v>177</v>
      </c>
      <c r="E103" s="42" t="s">
        <v>186</v>
      </c>
      <c r="F103" s="44" t="s">
        <v>166</v>
      </c>
      <c r="G103" s="44">
        <v>1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46"/>
      <c r="BI103" s="46"/>
      <c r="BJ103" s="46"/>
      <c r="BK103" s="46"/>
      <c r="BL103" s="46"/>
      <c r="BM103" s="46"/>
    </row>
    <row r="104" spans="1:65" ht="22.5" customHeight="1" x14ac:dyDescent="0.25">
      <c r="A104" s="2"/>
      <c r="B104" s="88"/>
      <c r="C104" s="42" t="s">
        <v>176</v>
      </c>
      <c r="D104" s="42" t="s">
        <v>177</v>
      </c>
      <c r="E104" s="42" t="s">
        <v>187</v>
      </c>
      <c r="F104" s="44" t="s">
        <v>168</v>
      </c>
      <c r="G104" s="44" t="s">
        <v>63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46"/>
      <c r="BI104" s="46"/>
      <c r="BJ104" s="46"/>
      <c r="BK104" s="46"/>
      <c r="BL104" s="46"/>
      <c r="BM104" s="46"/>
    </row>
    <row r="105" spans="1:65" ht="22.5" customHeight="1" x14ac:dyDescent="0.25">
      <c r="A105" s="2"/>
      <c r="B105" s="88"/>
      <c r="C105" s="42" t="s">
        <v>176</v>
      </c>
      <c r="D105" s="42" t="s">
        <v>177</v>
      </c>
      <c r="E105" s="42" t="s">
        <v>188</v>
      </c>
      <c r="F105" s="44" t="s">
        <v>189</v>
      </c>
      <c r="G105" s="44" t="s">
        <v>63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46"/>
      <c r="BI105" s="46"/>
      <c r="BJ105" s="46"/>
      <c r="BK105" s="46"/>
      <c r="BL105" s="46"/>
      <c r="BM105" s="46"/>
    </row>
    <row r="106" spans="1:65" ht="22.5" customHeight="1" x14ac:dyDescent="0.25">
      <c r="A106" s="2"/>
      <c r="B106" s="88"/>
      <c r="C106" s="42" t="s">
        <v>176</v>
      </c>
      <c r="D106" s="42" t="s">
        <v>177</v>
      </c>
      <c r="E106" s="42" t="s">
        <v>190</v>
      </c>
      <c r="F106" s="44" t="s">
        <v>62</v>
      </c>
      <c r="G106" s="44">
        <v>5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46"/>
      <c r="BI106" s="46"/>
      <c r="BJ106" s="46"/>
      <c r="BK106" s="46"/>
      <c r="BL106" s="46"/>
      <c r="BM106" s="46"/>
    </row>
    <row r="107" spans="1:65" ht="22.5" customHeight="1" x14ac:dyDescent="0.25">
      <c r="A107" s="2"/>
      <c r="B107" s="88"/>
      <c r="C107" s="42" t="s">
        <v>176</v>
      </c>
      <c r="D107" s="42" t="s">
        <v>177</v>
      </c>
      <c r="E107" s="42" t="s">
        <v>191</v>
      </c>
      <c r="F107" s="44" t="s">
        <v>189</v>
      </c>
      <c r="G107" s="44">
        <v>5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46"/>
      <c r="BI107" s="46"/>
      <c r="BJ107" s="46"/>
      <c r="BK107" s="46"/>
      <c r="BL107" s="46"/>
      <c r="BM107" s="46"/>
    </row>
    <row r="108" spans="1:65" ht="44.25" customHeight="1" x14ac:dyDescent="0.25">
      <c r="A108" s="2"/>
      <c r="B108" s="88"/>
      <c r="C108" s="42" t="s">
        <v>176</v>
      </c>
      <c r="D108" s="42" t="s">
        <v>177</v>
      </c>
      <c r="E108" s="42" t="s">
        <v>192</v>
      </c>
      <c r="F108" s="44" t="s">
        <v>62</v>
      </c>
      <c r="G108" s="44">
        <v>2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46"/>
      <c r="BI108" s="46"/>
      <c r="BJ108" s="46"/>
      <c r="BK108" s="46"/>
      <c r="BL108" s="46"/>
      <c r="BM108" s="46"/>
    </row>
    <row r="109" spans="1:65" ht="22.5" customHeight="1" x14ac:dyDescent="0.25">
      <c r="A109" s="2"/>
      <c r="B109" s="89"/>
      <c r="C109" s="42" t="s">
        <v>176</v>
      </c>
      <c r="D109" s="42" t="s">
        <v>177</v>
      </c>
      <c r="E109" s="42" t="s">
        <v>193</v>
      </c>
      <c r="F109" s="44" t="s">
        <v>62</v>
      </c>
      <c r="G109" s="44">
        <v>2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46"/>
      <c r="BI109" s="46"/>
      <c r="BJ109" s="46"/>
      <c r="BK109" s="46"/>
      <c r="BL109" s="46"/>
      <c r="BM109" s="46"/>
    </row>
    <row r="110" spans="1:65" ht="45" customHeight="1" x14ac:dyDescent="0.25">
      <c r="A110" s="2"/>
      <c r="B110" s="41"/>
      <c r="C110" s="42" t="s">
        <v>194</v>
      </c>
      <c r="D110" s="42" t="s">
        <v>195</v>
      </c>
      <c r="E110" s="42" t="s">
        <v>196</v>
      </c>
      <c r="F110" s="43"/>
      <c r="G110" s="44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46"/>
      <c r="BI110" s="46"/>
      <c r="BJ110" s="46"/>
      <c r="BK110" s="46"/>
      <c r="BL110" s="46"/>
      <c r="BM110" s="46"/>
    </row>
    <row r="111" spans="1:65" ht="22.5" customHeight="1" x14ac:dyDescent="0.25">
      <c r="A111" s="2"/>
      <c r="B111" s="90" t="s">
        <v>195</v>
      </c>
      <c r="C111" s="42" t="s">
        <v>194</v>
      </c>
      <c r="D111" s="42" t="s">
        <v>195</v>
      </c>
      <c r="E111" s="42" t="s">
        <v>197</v>
      </c>
      <c r="F111" s="44" t="s">
        <v>166</v>
      </c>
      <c r="G111" s="44">
        <v>1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46"/>
      <c r="BI111" s="46"/>
      <c r="BJ111" s="46"/>
      <c r="BK111" s="46"/>
      <c r="BL111" s="46"/>
      <c r="BM111" s="46"/>
    </row>
    <row r="112" spans="1:65" ht="22.5" customHeight="1" x14ac:dyDescent="0.25">
      <c r="A112" s="2"/>
      <c r="B112" s="88"/>
      <c r="C112" s="42" t="s">
        <v>194</v>
      </c>
      <c r="D112" s="42" t="s">
        <v>195</v>
      </c>
      <c r="E112" s="42" t="s">
        <v>198</v>
      </c>
      <c r="F112" s="44" t="s">
        <v>168</v>
      </c>
      <c r="G112" s="44">
        <v>2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46"/>
      <c r="BI112" s="46"/>
      <c r="BJ112" s="46"/>
      <c r="BK112" s="46"/>
      <c r="BL112" s="46"/>
      <c r="BM112" s="46"/>
    </row>
    <row r="113" spans="1:65" ht="22.5" customHeight="1" x14ac:dyDescent="0.25">
      <c r="A113" s="2"/>
      <c r="B113" s="88"/>
      <c r="C113" s="42" t="s">
        <v>194</v>
      </c>
      <c r="D113" s="42" t="s">
        <v>195</v>
      </c>
      <c r="E113" s="42" t="s">
        <v>199</v>
      </c>
      <c r="F113" s="44" t="s">
        <v>166</v>
      </c>
      <c r="G113" s="44">
        <v>2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46"/>
      <c r="BI113" s="46"/>
      <c r="BJ113" s="46"/>
      <c r="BK113" s="46"/>
      <c r="BL113" s="46"/>
      <c r="BM113" s="46"/>
    </row>
    <row r="114" spans="1:65" ht="22.5" customHeight="1" x14ac:dyDescent="0.25">
      <c r="A114" s="2"/>
      <c r="B114" s="88"/>
      <c r="C114" s="42" t="s">
        <v>194</v>
      </c>
      <c r="D114" s="42" t="s">
        <v>195</v>
      </c>
      <c r="E114" s="42" t="s">
        <v>200</v>
      </c>
      <c r="F114" s="44" t="s">
        <v>166</v>
      </c>
      <c r="G114" s="44">
        <v>1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46"/>
      <c r="BI114" s="46"/>
      <c r="BJ114" s="46"/>
      <c r="BK114" s="46"/>
      <c r="BL114" s="46"/>
      <c r="BM114" s="46"/>
    </row>
    <row r="115" spans="1:65" ht="22.5" customHeight="1" x14ac:dyDescent="0.25">
      <c r="A115" s="2"/>
      <c r="B115" s="88"/>
      <c r="C115" s="42" t="s">
        <v>194</v>
      </c>
      <c r="D115" s="42" t="s">
        <v>195</v>
      </c>
      <c r="E115" s="42" t="s">
        <v>201</v>
      </c>
      <c r="F115" s="44" t="s">
        <v>202</v>
      </c>
      <c r="G115" s="44">
        <v>1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46"/>
      <c r="BI115" s="46"/>
      <c r="BJ115" s="46"/>
      <c r="BK115" s="46"/>
      <c r="BL115" s="46"/>
      <c r="BM115" s="46"/>
    </row>
    <row r="116" spans="1:65" ht="22.5" customHeight="1" x14ac:dyDescent="0.25">
      <c r="A116" s="2"/>
      <c r="B116" s="88"/>
      <c r="C116" s="42" t="s">
        <v>194</v>
      </c>
      <c r="D116" s="42" t="s">
        <v>195</v>
      </c>
      <c r="E116" s="42" t="s">
        <v>203</v>
      </c>
      <c r="F116" s="44" t="s">
        <v>202</v>
      </c>
      <c r="G116" s="44">
        <v>1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46"/>
      <c r="BI116" s="46"/>
      <c r="BJ116" s="46"/>
      <c r="BK116" s="46"/>
      <c r="BL116" s="46"/>
      <c r="BM116" s="46"/>
    </row>
    <row r="117" spans="1:65" ht="22.5" customHeight="1" x14ac:dyDescent="0.25">
      <c r="A117" s="2"/>
      <c r="B117" s="88"/>
      <c r="C117" s="42" t="s">
        <v>194</v>
      </c>
      <c r="D117" s="42" t="s">
        <v>195</v>
      </c>
      <c r="E117" s="42" t="s">
        <v>174</v>
      </c>
      <c r="F117" s="49" t="s">
        <v>65</v>
      </c>
      <c r="G117" s="44">
        <v>2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46"/>
      <c r="BI117" s="46"/>
      <c r="BJ117" s="46"/>
      <c r="BK117" s="46"/>
      <c r="BL117" s="46"/>
      <c r="BM117" s="46"/>
    </row>
    <row r="118" spans="1:65" ht="22.5" customHeight="1" x14ac:dyDescent="0.25">
      <c r="A118" s="2"/>
      <c r="B118" s="88"/>
      <c r="C118" s="42" t="s">
        <v>194</v>
      </c>
      <c r="D118" s="42" t="s">
        <v>195</v>
      </c>
      <c r="E118" s="42" t="s">
        <v>167</v>
      </c>
      <c r="F118" s="50" t="s">
        <v>168</v>
      </c>
      <c r="G118" s="44">
        <v>2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46"/>
      <c r="BI118" s="46"/>
      <c r="BJ118" s="46"/>
      <c r="BK118" s="46"/>
      <c r="BL118" s="46"/>
      <c r="BM118" s="46"/>
    </row>
    <row r="119" spans="1:65" ht="22.5" customHeight="1" x14ac:dyDescent="0.25">
      <c r="A119" s="2"/>
      <c r="B119" s="88"/>
      <c r="C119" s="42" t="s">
        <v>194</v>
      </c>
      <c r="D119" s="42" t="s">
        <v>195</v>
      </c>
      <c r="E119" s="42" t="s">
        <v>204</v>
      </c>
      <c r="F119" s="50" t="s">
        <v>62</v>
      </c>
      <c r="G119" s="44">
        <v>1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46"/>
      <c r="BI119" s="46"/>
      <c r="BJ119" s="46"/>
      <c r="BK119" s="46"/>
      <c r="BL119" s="46"/>
      <c r="BM119" s="46"/>
    </row>
    <row r="120" spans="1:65" ht="22.5" customHeight="1" x14ac:dyDescent="0.25">
      <c r="A120" s="2"/>
      <c r="B120" s="88"/>
      <c r="C120" s="42" t="s">
        <v>194</v>
      </c>
      <c r="D120" s="42" t="s">
        <v>195</v>
      </c>
      <c r="E120" s="42" t="s">
        <v>205</v>
      </c>
      <c r="F120" s="50" t="s">
        <v>168</v>
      </c>
      <c r="G120" s="44">
        <v>2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46"/>
      <c r="BI120" s="46"/>
      <c r="BJ120" s="46"/>
      <c r="BK120" s="46"/>
      <c r="BL120" s="46"/>
      <c r="BM120" s="46"/>
    </row>
    <row r="121" spans="1:65" ht="22.5" customHeight="1" x14ac:dyDescent="0.25">
      <c r="A121" s="2"/>
      <c r="B121" s="89"/>
      <c r="C121" s="42" t="s">
        <v>194</v>
      </c>
      <c r="D121" s="42" t="s">
        <v>195</v>
      </c>
      <c r="E121" s="42" t="s">
        <v>206</v>
      </c>
      <c r="F121" s="50" t="s">
        <v>168</v>
      </c>
      <c r="G121" s="44">
        <v>1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46"/>
      <c r="BI121" s="46"/>
      <c r="BJ121" s="46"/>
      <c r="BK121" s="46"/>
      <c r="BL121" s="46"/>
      <c r="BM121" s="46"/>
    </row>
    <row r="122" spans="1:65" ht="45" customHeight="1" x14ac:dyDescent="0.25">
      <c r="A122" s="2"/>
      <c r="B122" s="41"/>
      <c r="C122" s="42" t="s">
        <v>207</v>
      </c>
      <c r="D122" s="51" t="s">
        <v>208</v>
      </c>
      <c r="E122" s="51" t="s">
        <v>209</v>
      </c>
      <c r="F122" s="43"/>
      <c r="G122" s="44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46"/>
      <c r="BI122" s="46"/>
      <c r="BJ122" s="46"/>
      <c r="BK122" s="46"/>
      <c r="BL122" s="46"/>
      <c r="BM122" s="46"/>
    </row>
    <row r="123" spans="1:65" ht="22.5" customHeight="1" x14ac:dyDescent="0.25">
      <c r="A123" s="2"/>
      <c r="B123" s="91" t="s">
        <v>208</v>
      </c>
      <c r="C123" s="42" t="s">
        <v>207</v>
      </c>
      <c r="D123" s="51" t="s">
        <v>208</v>
      </c>
      <c r="E123" s="42" t="s">
        <v>197</v>
      </c>
      <c r="F123" s="44" t="s">
        <v>166</v>
      </c>
      <c r="G123" s="44">
        <v>1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46"/>
      <c r="BI123" s="46"/>
      <c r="BJ123" s="46"/>
      <c r="BK123" s="46"/>
      <c r="BL123" s="46"/>
      <c r="BM123" s="46"/>
    </row>
    <row r="124" spans="1:65" ht="22.5" customHeight="1" x14ac:dyDescent="0.25">
      <c r="A124" s="2"/>
      <c r="B124" s="88"/>
      <c r="C124" s="42" t="s">
        <v>207</v>
      </c>
      <c r="D124" s="51" t="s">
        <v>208</v>
      </c>
      <c r="E124" s="42" t="s">
        <v>198</v>
      </c>
      <c r="F124" s="44" t="s">
        <v>168</v>
      </c>
      <c r="G124" s="44">
        <v>2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46"/>
      <c r="BI124" s="46"/>
      <c r="BJ124" s="46"/>
      <c r="BK124" s="46"/>
      <c r="BL124" s="46"/>
      <c r="BM124" s="46"/>
    </row>
    <row r="125" spans="1:65" ht="22.5" customHeight="1" x14ac:dyDescent="0.25">
      <c r="A125" s="2"/>
      <c r="B125" s="88"/>
      <c r="C125" s="42" t="s">
        <v>207</v>
      </c>
      <c r="D125" s="51" t="s">
        <v>208</v>
      </c>
      <c r="E125" s="42" t="s">
        <v>199</v>
      </c>
      <c r="F125" s="44" t="s">
        <v>166</v>
      </c>
      <c r="G125" s="44">
        <v>2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46"/>
      <c r="BI125" s="46"/>
      <c r="BJ125" s="46"/>
      <c r="BK125" s="46"/>
      <c r="BL125" s="46"/>
      <c r="BM125" s="46"/>
    </row>
    <row r="126" spans="1:65" ht="22.5" customHeight="1" x14ac:dyDescent="0.25">
      <c r="A126" s="2"/>
      <c r="B126" s="88"/>
      <c r="C126" s="42" t="s">
        <v>207</v>
      </c>
      <c r="D126" s="51" t="s">
        <v>208</v>
      </c>
      <c r="E126" s="42" t="s">
        <v>200</v>
      </c>
      <c r="F126" s="44" t="s">
        <v>166</v>
      </c>
      <c r="G126" s="44">
        <v>1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46"/>
      <c r="BI126" s="46"/>
      <c r="BJ126" s="46"/>
      <c r="BK126" s="46"/>
      <c r="BL126" s="46"/>
      <c r="BM126" s="46"/>
    </row>
    <row r="127" spans="1:65" ht="22.5" customHeight="1" x14ac:dyDescent="0.25">
      <c r="A127" s="2"/>
      <c r="B127" s="88"/>
      <c r="C127" s="42" t="s">
        <v>207</v>
      </c>
      <c r="D127" s="51" t="s">
        <v>208</v>
      </c>
      <c r="E127" s="42" t="s">
        <v>201</v>
      </c>
      <c r="F127" s="44" t="s">
        <v>202</v>
      </c>
      <c r="G127" s="44">
        <v>1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46"/>
      <c r="BI127" s="46"/>
      <c r="BJ127" s="46"/>
      <c r="BK127" s="46"/>
      <c r="BL127" s="46"/>
      <c r="BM127" s="46"/>
    </row>
    <row r="128" spans="1:65" ht="22.5" customHeight="1" x14ac:dyDescent="0.25">
      <c r="A128" s="2"/>
      <c r="B128" s="88"/>
      <c r="C128" s="42" t="s">
        <v>207</v>
      </c>
      <c r="D128" s="51" t="s">
        <v>208</v>
      </c>
      <c r="E128" s="42" t="s">
        <v>203</v>
      </c>
      <c r="F128" s="44" t="s">
        <v>202</v>
      </c>
      <c r="G128" s="44">
        <v>1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46"/>
      <c r="BI128" s="46"/>
      <c r="BJ128" s="46"/>
      <c r="BK128" s="46"/>
      <c r="BL128" s="46"/>
      <c r="BM128" s="46"/>
    </row>
    <row r="129" spans="1:65" ht="22.5" customHeight="1" x14ac:dyDescent="0.25">
      <c r="A129" s="2"/>
      <c r="B129" s="88"/>
      <c r="C129" s="42" t="s">
        <v>207</v>
      </c>
      <c r="D129" s="51" t="s">
        <v>208</v>
      </c>
      <c r="E129" s="42" t="s">
        <v>174</v>
      </c>
      <c r="F129" s="49" t="s">
        <v>65</v>
      </c>
      <c r="G129" s="44">
        <v>2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46"/>
      <c r="BI129" s="46"/>
      <c r="BJ129" s="46"/>
      <c r="BK129" s="46"/>
      <c r="BL129" s="46"/>
      <c r="BM129" s="46"/>
    </row>
    <row r="130" spans="1:65" ht="22.5" customHeight="1" x14ac:dyDescent="0.25">
      <c r="A130" s="2"/>
      <c r="B130" s="88"/>
      <c r="C130" s="42" t="s">
        <v>207</v>
      </c>
      <c r="D130" s="51" t="s">
        <v>208</v>
      </c>
      <c r="E130" s="42" t="s">
        <v>167</v>
      </c>
      <c r="F130" s="50" t="s">
        <v>168</v>
      </c>
      <c r="G130" s="44">
        <v>2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46"/>
      <c r="BI130" s="46"/>
      <c r="BJ130" s="46"/>
      <c r="BK130" s="46"/>
      <c r="BL130" s="46"/>
      <c r="BM130" s="46"/>
    </row>
    <row r="131" spans="1:65" ht="22.5" customHeight="1" x14ac:dyDescent="0.25">
      <c r="A131" s="2"/>
      <c r="B131" s="88"/>
      <c r="C131" s="42" t="s">
        <v>207</v>
      </c>
      <c r="D131" s="51" t="s">
        <v>208</v>
      </c>
      <c r="E131" s="42" t="s">
        <v>204</v>
      </c>
      <c r="F131" s="50" t="s">
        <v>62</v>
      </c>
      <c r="G131" s="44">
        <v>1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46"/>
      <c r="BI131" s="46"/>
      <c r="BJ131" s="46"/>
      <c r="BK131" s="46"/>
      <c r="BL131" s="46"/>
      <c r="BM131" s="46"/>
    </row>
    <row r="132" spans="1:65" ht="22.5" customHeight="1" x14ac:dyDescent="0.25">
      <c r="A132" s="2"/>
      <c r="B132" s="88"/>
      <c r="C132" s="42" t="s">
        <v>207</v>
      </c>
      <c r="D132" s="51" t="s">
        <v>208</v>
      </c>
      <c r="E132" s="42" t="s">
        <v>205</v>
      </c>
      <c r="F132" s="50" t="s">
        <v>168</v>
      </c>
      <c r="G132" s="44">
        <v>2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46"/>
      <c r="BI132" s="46"/>
      <c r="BJ132" s="46"/>
      <c r="BK132" s="46"/>
      <c r="BL132" s="46"/>
      <c r="BM132" s="46"/>
    </row>
    <row r="133" spans="1:65" ht="22.5" customHeight="1" x14ac:dyDescent="0.25">
      <c r="A133" s="2"/>
      <c r="B133" s="89"/>
      <c r="C133" s="42" t="s">
        <v>207</v>
      </c>
      <c r="D133" s="51" t="s">
        <v>208</v>
      </c>
      <c r="E133" s="42" t="s">
        <v>206</v>
      </c>
      <c r="F133" s="50" t="s">
        <v>168</v>
      </c>
      <c r="G133" s="44">
        <v>1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46"/>
      <c r="BI133" s="46"/>
      <c r="BJ133" s="46"/>
      <c r="BK133" s="46"/>
      <c r="BL133" s="46"/>
      <c r="BM133" s="46"/>
    </row>
    <row r="134" spans="1:65" ht="45" customHeight="1" x14ac:dyDescent="0.25">
      <c r="A134" s="2"/>
      <c r="B134" s="41"/>
      <c r="C134" s="42" t="s">
        <v>210</v>
      </c>
      <c r="D134" s="42" t="s">
        <v>211</v>
      </c>
      <c r="E134" s="42" t="s">
        <v>212</v>
      </c>
      <c r="F134" s="43"/>
      <c r="G134" s="44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46"/>
      <c r="BI134" s="46"/>
      <c r="BJ134" s="46"/>
      <c r="BK134" s="46"/>
      <c r="BL134" s="46"/>
      <c r="BM134" s="46"/>
    </row>
    <row r="135" spans="1:65" ht="22.5" customHeight="1" x14ac:dyDescent="0.25">
      <c r="A135" s="2"/>
      <c r="B135" s="90" t="s">
        <v>211</v>
      </c>
      <c r="C135" s="42" t="s">
        <v>210</v>
      </c>
      <c r="D135" s="42" t="s">
        <v>211</v>
      </c>
      <c r="E135" s="42" t="s">
        <v>197</v>
      </c>
      <c r="F135" s="52" t="s">
        <v>168</v>
      </c>
      <c r="G135" s="44">
        <v>1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46"/>
      <c r="BI135" s="46"/>
      <c r="BJ135" s="46"/>
      <c r="BK135" s="46"/>
      <c r="BL135" s="46"/>
      <c r="BM135" s="46"/>
    </row>
    <row r="136" spans="1:65" ht="22.5" customHeight="1" x14ac:dyDescent="0.25">
      <c r="A136" s="2"/>
      <c r="B136" s="88"/>
      <c r="C136" s="42" t="s">
        <v>210</v>
      </c>
      <c r="D136" s="51" t="s">
        <v>211</v>
      </c>
      <c r="E136" s="42" t="s">
        <v>213</v>
      </c>
      <c r="F136" s="52" t="s">
        <v>168</v>
      </c>
      <c r="G136" s="44">
        <v>1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46"/>
      <c r="BI136" s="46"/>
      <c r="BJ136" s="46"/>
      <c r="BK136" s="46"/>
      <c r="BL136" s="46"/>
      <c r="BM136" s="46"/>
    </row>
    <row r="137" spans="1:65" ht="22.5" customHeight="1" x14ac:dyDescent="0.25">
      <c r="A137" s="2"/>
      <c r="B137" s="88"/>
      <c r="C137" s="42" t="s">
        <v>210</v>
      </c>
      <c r="D137" s="42" t="s">
        <v>211</v>
      </c>
      <c r="E137" s="42" t="s">
        <v>214</v>
      </c>
      <c r="F137" s="52" t="s">
        <v>166</v>
      </c>
      <c r="G137" s="44">
        <v>2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46"/>
      <c r="BI137" s="46"/>
      <c r="BJ137" s="46"/>
      <c r="BK137" s="46"/>
      <c r="BL137" s="46"/>
      <c r="BM137" s="46"/>
    </row>
    <row r="138" spans="1:65" ht="22.5" customHeight="1" x14ac:dyDescent="0.25">
      <c r="A138" s="2"/>
      <c r="B138" s="88"/>
      <c r="C138" s="42" t="s">
        <v>210</v>
      </c>
      <c r="D138" s="42" t="s">
        <v>211</v>
      </c>
      <c r="E138" s="42" t="s">
        <v>198</v>
      </c>
      <c r="F138" s="52" t="s">
        <v>168</v>
      </c>
      <c r="G138" s="44">
        <v>2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46"/>
      <c r="BI138" s="46"/>
      <c r="BJ138" s="46"/>
      <c r="BK138" s="46"/>
      <c r="BL138" s="46"/>
      <c r="BM138" s="46"/>
    </row>
    <row r="139" spans="1:65" ht="22.5" customHeight="1" x14ac:dyDescent="0.25">
      <c r="A139" s="2"/>
      <c r="B139" s="88"/>
      <c r="C139" s="42" t="s">
        <v>210</v>
      </c>
      <c r="D139" s="42" t="s">
        <v>211</v>
      </c>
      <c r="E139" s="42" t="s">
        <v>167</v>
      </c>
      <c r="F139" s="52" t="s">
        <v>168</v>
      </c>
      <c r="G139" s="44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46"/>
      <c r="BI139" s="46"/>
      <c r="BJ139" s="46"/>
      <c r="BK139" s="46"/>
      <c r="BL139" s="46"/>
      <c r="BM139" s="46"/>
    </row>
    <row r="140" spans="1:65" ht="22.5" customHeight="1" x14ac:dyDescent="0.25">
      <c r="A140" s="2"/>
      <c r="B140" s="88"/>
      <c r="C140" s="42" t="s">
        <v>210</v>
      </c>
      <c r="D140" s="42" t="s">
        <v>211</v>
      </c>
      <c r="E140" s="42" t="s">
        <v>203</v>
      </c>
      <c r="F140" s="52" t="s">
        <v>202</v>
      </c>
      <c r="G140" s="44">
        <v>1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46"/>
      <c r="BI140" s="46"/>
      <c r="BJ140" s="46"/>
      <c r="BK140" s="46"/>
      <c r="BL140" s="46"/>
      <c r="BM140" s="46"/>
    </row>
    <row r="141" spans="1:65" ht="22.5" customHeight="1" x14ac:dyDescent="0.25">
      <c r="A141" s="2"/>
      <c r="B141" s="88"/>
      <c r="C141" s="42" t="s">
        <v>210</v>
      </c>
      <c r="D141" s="42" t="s">
        <v>211</v>
      </c>
      <c r="E141" s="42" t="s">
        <v>204</v>
      </c>
      <c r="F141" s="52" t="s">
        <v>62</v>
      </c>
      <c r="G141" s="44">
        <v>1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46"/>
      <c r="BI141" s="46"/>
      <c r="BJ141" s="46"/>
      <c r="BK141" s="46"/>
      <c r="BL141" s="46"/>
      <c r="BM141" s="46"/>
    </row>
    <row r="142" spans="1:65" ht="22.5" customHeight="1" x14ac:dyDescent="0.25">
      <c r="A142" s="2"/>
      <c r="B142" s="88"/>
      <c r="C142" s="42" t="s">
        <v>210</v>
      </c>
      <c r="D142" s="42" t="s">
        <v>211</v>
      </c>
      <c r="E142" s="42" t="s">
        <v>215</v>
      </c>
      <c r="F142" s="52" t="s">
        <v>166</v>
      </c>
      <c r="G142" s="44">
        <v>1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46"/>
      <c r="BI142" s="46"/>
      <c r="BJ142" s="46"/>
      <c r="BK142" s="46"/>
      <c r="BL142" s="46"/>
      <c r="BM142" s="46"/>
    </row>
    <row r="143" spans="1:65" ht="22.5" customHeight="1" x14ac:dyDescent="0.25">
      <c r="A143" s="2"/>
      <c r="B143" s="89"/>
      <c r="C143" s="42" t="s">
        <v>210</v>
      </c>
      <c r="D143" s="42" t="s">
        <v>211</v>
      </c>
      <c r="E143" s="42" t="s">
        <v>216</v>
      </c>
      <c r="F143" s="52" t="s">
        <v>62</v>
      </c>
      <c r="G143" s="44">
        <v>1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46"/>
      <c r="BI143" s="46"/>
      <c r="BJ143" s="46"/>
      <c r="BK143" s="46"/>
      <c r="BL143" s="46"/>
      <c r="BM143" s="46"/>
    </row>
    <row r="144" spans="1:65" ht="45" customHeight="1" x14ac:dyDescent="0.25">
      <c r="A144" s="2"/>
      <c r="B144" s="41"/>
      <c r="C144" s="42" t="s">
        <v>217</v>
      </c>
      <c r="D144" s="42" t="s">
        <v>218</v>
      </c>
      <c r="E144" s="42" t="s">
        <v>219</v>
      </c>
      <c r="F144" s="43"/>
      <c r="G144" s="44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46"/>
      <c r="BI144" s="46"/>
      <c r="BJ144" s="46"/>
      <c r="BK144" s="46"/>
      <c r="BL144" s="46"/>
      <c r="BM144" s="46"/>
    </row>
    <row r="145" spans="1:65" ht="22.5" customHeight="1" x14ac:dyDescent="0.25">
      <c r="A145" s="2"/>
      <c r="B145" s="90" t="s">
        <v>218</v>
      </c>
      <c r="C145" s="42" t="s">
        <v>217</v>
      </c>
      <c r="D145" s="42" t="s">
        <v>218</v>
      </c>
      <c r="E145" s="42" t="s">
        <v>220</v>
      </c>
      <c r="F145" s="52" t="s">
        <v>168</v>
      </c>
      <c r="G145" s="44">
        <v>1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46"/>
      <c r="BI145" s="46"/>
      <c r="BJ145" s="46"/>
      <c r="BK145" s="46"/>
      <c r="BL145" s="46"/>
      <c r="BM145" s="46"/>
    </row>
    <row r="146" spans="1:65" ht="22.5" customHeight="1" x14ac:dyDescent="0.25">
      <c r="A146" s="2"/>
      <c r="B146" s="88"/>
      <c r="C146" s="42" t="s">
        <v>217</v>
      </c>
      <c r="D146" s="51" t="s">
        <v>218</v>
      </c>
      <c r="E146" s="42" t="s">
        <v>214</v>
      </c>
      <c r="F146" s="52" t="s">
        <v>166</v>
      </c>
      <c r="G146" s="44">
        <v>2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46"/>
      <c r="BI146" s="46"/>
      <c r="BJ146" s="46"/>
      <c r="BK146" s="46"/>
      <c r="BL146" s="46"/>
      <c r="BM146" s="46"/>
    </row>
    <row r="147" spans="1:65" ht="22.5" customHeight="1" x14ac:dyDescent="0.25">
      <c r="A147" s="2"/>
      <c r="B147" s="88"/>
      <c r="C147" s="42" t="s">
        <v>217</v>
      </c>
      <c r="D147" s="42" t="s">
        <v>218</v>
      </c>
      <c r="E147" s="42" t="s">
        <v>198</v>
      </c>
      <c r="F147" s="52" t="s">
        <v>168</v>
      </c>
      <c r="G147" s="44">
        <v>2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46"/>
      <c r="BI147" s="46"/>
      <c r="BJ147" s="46"/>
      <c r="BK147" s="46"/>
      <c r="BL147" s="46"/>
      <c r="BM147" s="46"/>
    </row>
    <row r="148" spans="1:65" ht="22.5" customHeight="1" x14ac:dyDescent="0.25">
      <c r="A148" s="2"/>
      <c r="B148" s="88"/>
      <c r="C148" s="42" t="s">
        <v>217</v>
      </c>
      <c r="D148" s="42" t="s">
        <v>218</v>
      </c>
      <c r="E148" s="42" t="s">
        <v>167</v>
      </c>
      <c r="F148" s="52" t="s">
        <v>168</v>
      </c>
      <c r="G148" s="44">
        <v>4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46"/>
      <c r="BI148" s="46"/>
      <c r="BJ148" s="46"/>
      <c r="BK148" s="46"/>
      <c r="BL148" s="46"/>
      <c r="BM148" s="46"/>
    </row>
    <row r="149" spans="1:65" ht="22.5" customHeight="1" x14ac:dyDescent="0.25">
      <c r="A149" s="2"/>
      <c r="B149" s="88"/>
      <c r="C149" s="42" t="s">
        <v>217</v>
      </c>
      <c r="D149" s="42" t="s">
        <v>218</v>
      </c>
      <c r="E149" s="42" t="s">
        <v>203</v>
      </c>
      <c r="F149" s="52" t="s">
        <v>67</v>
      </c>
      <c r="G149" s="44">
        <v>1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46"/>
      <c r="BI149" s="46"/>
      <c r="BJ149" s="46"/>
      <c r="BK149" s="46"/>
      <c r="BL149" s="46"/>
      <c r="BM149" s="46"/>
    </row>
    <row r="150" spans="1:65" ht="22.5" customHeight="1" x14ac:dyDescent="0.25">
      <c r="A150" s="2"/>
      <c r="B150" s="88"/>
      <c r="C150" s="42" t="s">
        <v>217</v>
      </c>
      <c r="D150" s="42" t="s">
        <v>218</v>
      </c>
      <c r="E150" s="42" t="s">
        <v>204</v>
      </c>
      <c r="F150" s="52" t="s">
        <v>62</v>
      </c>
      <c r="G150" s="44">
        <v>1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46"/>
      <c r="BI150" s="46"/>
      <c r="BJ150" s="46"/>
      <c r="BK150" s="46"/>
      <c r="BL150" s="46"/>
      <c r="BM150" s="46"/>
    </row>
    <row r="151" spans="1:65" ht="22.5" customHeight="1" x14ac:dyDescent="0.25">
      <c r="A151" s="2"/>
      <c r="B151" s="88"/>
      <c r="C151" s="42" t="s">
        <v>217</v>
      </c>
      <c r="D151" s="42" t="s">
        <v>218</v>
      </c>
      <c r="E151" s="42" t="s">
        <v>221</v>
      </c>
      <c r="F151" s="52" t="s">
        <v>166</v>
      </c>
      <c r="G151" s="44">
        <v>2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46"/>
      <c r="BI151" s="46"/>
      <c r="BJ151" s="46"/>
      <c r="BK151" s="46"/>
      <c r="BL151" s="46"/>
      <c r="BM151" s="46"/>
    </row>
    <row r="152" spans="1:65" ht="22.5" customHeight="1" x14ac:dyDescent="0.25">
      <c r="A152" s="2"/>
      <c r="B152" s="88"/>
      <c r="C152" s="42" t="s">
        <v>217</v>
      </c>
      <c r="D152" s="42" t="s">
        <v>218</v>
      </c>
      <c r="E152" s="42" t="s">
        <v>216</v>
      </c>
      <c r="F152" s="52" t="s">
        <v>62</v>
      </c>
      <c r="G152" s="44">
        <v>1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46"/>
      <c r="BI152" s="46"/>
      <c r="BJ152" s="46"/>
      <c r="BK152" s="46"/>
      <c r="BL152" s="46"/>
      <c r="BM152" s="46"/>
    </row>
    <row r="153" spans="1:65" ht="22.5" customHeight="1" x14ac:dyDescent="0.25">
      <c r="A153" s="2"/>
      <c r="B153" s="89"/>
      <c r="C153" s="42" t="s">
        <v>217</v>
      </c>
      <c r="D153" s="42" t="s">
        <v>218</v>
      </c>
      <c r="E153" s="42" t="s">
        <v>222</v>
      </c>
      <c r="F153" s="52" t="s">
        <v>166</v>
      </c>
      <c r="G153" s="44">
        <v>2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46"/>
      <c r="BI153" s="46"/>
      <c r="BJ153" s="46"/>
      <c r="BK153" s="46"/>
      <c r="BL153" s="46"/>
      <c r="BM153" s="46"/>
    </row>
    <row r="154" spans="1:65" ht="22.5" customHeight="1" x14ac:dyDescent="0.25">
      <c r="A154" s="2"/>
      <c r="B154" s="2"/>
      <c r="C154" s="2"/>
      <c r="D154" s="2"/>
      <c r="E154" s="92" t="s">
        <v>223</v>
      </c>
      <c r="F154" s="93"/>
      <c r="G154" s="53"/>
      <c r="H154" s="53">
        <f t="shared" ref="H154:BG154" si="0">SUM(H6:H55)</f>
        <v>0</v>
      </c>
      <c r="I154" s="53">
        <f t="shared" si="0"/>
        <v>0</v>
      </c>
      <c r="J154" s="53">
        <f t="shared" si="0"/>
        <v>0</v>
      </c>
      <c r="K154" s="53">
        <f t="shared" si="0"/>
        <v>0</v>
      </c>
      <c r="L154" s="53">
        <f t="shared" si="0"/>
        <v>0</v>
      </c>
      <c r="M154" s="53">
        <f t="shared" si="0"/>
        <v>0</v>
      </c>
      <c r="N154" s="53">
        <f t="shared" si="0"/>
        <v>28</v>
      </c>
      <c r="O154" s="53">
        <f t="shared" si="0"/>
        <v>0</v>
      </c>
      <c r="P154" s="53">
        <f t="shared" si="0"/>
        <v>0</v>
      </c>
      <c r="Q154" s="53">
        <f t="shared" si="0"/>
        <v>0</v>
      </c>
      <c r="R154" s="53">
        <f t="shared" si="0"/>
        <v>0</v>
      </c>
      <c r="S154" s="53">
        <f t="shared" si="0"/>
        <v>0</v>
      </c>
      <c r="T154" s="53">
        <f t="shared" si="0"/>
        <v>0</v>
      </c>
      <c r="U154" s="53">
        <f t="shared" si="0"/>
        <v>6</v>
      </c>
      <c r="V154" s="53">
        <f t="shared" si="0"/>
        <v>0</v>
      </c>
      <c r="W154" s="53">
        <f t="shared" si="0"/>
        <v>0</v>
      </c>
      <c r="X154" s="53">
        <f t="shared" si="0"/>
        <v>0</v>
      </c>
      <c r="Y154" s="53">
        <f t="shared" si="0"/>
        <v>0</v>
      </c>
      <c r="Z154" s="53">
        <f t="shared" si="0"/>
        <v>0</v>
      </c>
      <c r="AA154" s="53">
        <f t="shared" si="0"/>
        <v>0</v>
      </c>
      <c r="AB154" s="53">
        <f t="shared" si="0"/>
        <v>0</v>
      </c>
      <c r="AC154" s="53">
        <f t="shared" si="0"/>
        <v>0</v>
      </c>
      <c r="AD154" s="53">
        <f t="shared" si="0"/>
        <v>0</v>
      </c>
      <c r="AE154" s="53">
        <f t="shared" si="0"/>
        <v>0</v>
      </c>
      <c r="AF154" s="53">
        <f t="shared" si="0"/>
        <v>0</v>
      </c>
      <c r="AG154" s="53">
        <f t="shared" si="0"/>
        <v>0</v>
      </c>
      <c r="AH154" s="53">
        <f t="shared" si="0"/>
        <v>11</v>
      </c>
      <c r="AI154" s="53">
        <f t="shared" si="0"/>
        <v>0</v>
      </c>
      <c r="AJ154" s="53">
        <f t="shared" si="0"/>
        <v>0</v>
      </c>
      <c r="AK154" s="53">
        <f t="shared" si="0"/>
        <v>0</v>
      </c>
      <c r="AL154" s="53">
        <f t="shared" si="0"/>
        <v>0</v>
      </c>
      <c r="AM154" s="53">
        <f t="shared" si="0"/>
        <v>0</v>
      </c>
      <c r="AN154" s="53">
        <f t="shared" si="0"/>
        <v>0</v>
      </c>
      <c r="AO154" s="53">
        <f t="shared" si="0"/>
        <v>11.5</v>
      </c>
      <c r="AP154" s="53">
        <f t="shared" si="0"/>
        <v>24</v>
      </c>
      <c r="AQ154" s="53">
        <f t="shared" si="0"/>
        <v>10.199999999999999</v>
      </c>
      <c r="AR154" s="53">
        <f t="shared" si="0"/>
        <v>21.2</v>
      </c>
      <c r="AS154" s="53">
        <f t="shared" si="0"/>
        <v>16</v>
      </c>
      <c r="AT154" s="53">
        <f t="shared" si="0"/>
        <v>0</v>
      </c>
      <c r="AU154" s="53">
        <f t="shared" si="0"/>
        <v>0</v>
      </c>
      <c r="AV154" s="53">
        <f t="shared" si="0"/>
        <v>0</v>
      </c>
      <c r="AW154" s="53">
        <f t="shared" si="0"/>
        <v>6</v>
      </c>
      <c r="AX154" s="53">
        <f t="shared" si="0"/>
        <v>0</v>
      </c>
      <c r="AY154" s="53">
        <f t="shared" si="0"/>
        <v>0</v>
      </c>
      <c r="AZ154" s="53">
        <f t="shared" si="0"/>
        <v>5</v>
      </c>
      <c r="BA154" s="53">
        <f t="shared" si="0"/>
        <v>0</v>
      </c>
      <c r="BB154" s="53">
        <f t="shared" si="0"/>
        <v>16</v>
      </c>
      <c r="BC154" s="53">
        <f t="shared" si="0"/>
        <v>11</v>
      </c>
      <c r="BD154" s="53">
        <f t="shared" si="0"/>
        <v>0</v>
      </c>
      <c r="BE154" s="53">
        <f t="shared" si="0"/>
        <v>0.2</v>
      </c>
      <c r="BF154" s="53">
        <f t="shared" si="0"/>
        <v>0.5</v>
      </c>
      <c r="BG154" s="53">
        <f t="shared" si="0"/>
        <v>0</v>
      </c>
      <c r="BH154" s="46"/>
      <c r="BI154" s="46"/>
      <c r="BJ154" s="46"/>
      <c r="BK154" s="46"/>
      <c r="BL154" s="46"/>
      <c r="BM154" s="46"/>
    </row>
    <row r="155" spans="1:65" ht="22.5" customHeight="1" x14ac:dyDescent="0.25">
      <c r="A155" s="2"/>
      <c r="B155" s="2"/>
      <c r="C155" s="2"/>
      <c r="D155" s="2"/>
      <c r="E155" s="83" t="s">
        <v>224</v>
      </c>
      <c r="F155" s="84"/>
      <c r="G155" s="54"/>
      <c r="H155" s="54">
        <f t="shared" ref="H155:BG155" si="1">44*0.8</f>
        <v>35.200000000000003</v>
      </c>
      <c r="I155" s="54">
        <f t="shared" si="1"/>
        <v>35.200000000000003</v>
      </c>
      <c r="J155" s="54">
        <f t="shared" si="1"/>
        <v>35.200000000000003</v>
      </c>
      <c r="K155" s="54">
        <f t="shared" si="1"/>
        <v>35.200000000000003</v>
      </c>
      <c r="L155" s="54">
        <f t="shared" si="1"/>
        <v>35.200000000000003</v>
      </c>
      <c r="M155" s="54">
        <f t="shared" si="1"/>
        <v>35.200000000000003</v>
      </c>
      <c r="N155" s="54">
        <f t="shared" si="1"/>
        <v>35.200000000000003</v>
      </c>
      <c r="O155" s="54">
        <f t="shared" si="1"/>
        <v>35.200000000000003</v>
      </c>
      <c r="P155" s="54">
        <f t="shared" si="1"/>
        <v>35.200000000000003</v>
      </c>
      <c r="Q155" s="54">
        <f t="shared" si="1"/>
        <v>35.200000000000003</v>
      </c>
      <c r="R155" s="54">
        <f t="shared" si="1"/>
        <v>35.200000000000003</v>
      </c>
      <c r="S155" s="54">
        <f t="shared" si="1"/>
        <v>35.200000000000003</v>
      </c>
      <c r="T155" s="54">
        <f t="shared" si="1"/>
        <v>35.200000000000003</v>
      </c>
      <c r="U155" s="54">
        <f t="shared" si="1"/>
        <v>35.200000000000003</v>
      </c>
      <c r="V155" s="54">
        <f t="shared" si="1"/>
        <v>35.200000000000003</v>
      </c>
      <c r="W155" s="54">
        <f t="shared" si="1"/>
        <v>35.200000000000003</v>
      </c>
      <c r="X155" s="54">
        <f t="shared" si="1"/>
        <v>35.200000000000003</v>
      </c>
      <c r="Y155" s="54">
        <f t="shared" si="1"/>
        <v>35.200000000000003</v>
      </c>
      <c r="Z155" s="54">
        <f t="shared" si="1"/>
        <v>35.200000000000003</v>
      </c>
      <c r="AA155" s="54">
        <f t="shared" si="1"/>
        <v>35.200000000000003</v>
      </c>
      <c r="AB155" s="54">
        <f t="shared" si="1"/>
        <v>35.200000000000003</v>
      </c>
      <c r="AC155" s="54">
        <f t="shared" si="1"/>
        <v>35.200000000000003</v>
      </c>
      <c r="AD155" s="54">
        <f t="shared" si="1"/>
        <v>35.200000000000003</v>
      </c>
      <c r="AE155" s="54">
        <f t="shared" si="1"/>
        <v>35.200000000000003</v>
      </c>
      <c r="AF155" s="54">
        <f t="shared" si="1"/>
        <v>35.200000000000003</v>
      </c>
      <c r="AG155" s="54">
        <f t="shared" si="1"/>
        <v>35.200000000000003</v>
      </c>
      <c r="AH155" s="54">
        <f t="shared" si="1"/>
        <v>35.200000000000003</v>
      </c>
      <c r="AI155" s="54">
        <f t="shared" si="1"/>
        <v>35.200000000000003</v>
      </c>
      <c r="AJ155" s="54">
        <f t="shared" si="1"/>
        <v>35.200000000000003</v>
      </c>
      <c r="AK155" s="54">
        <f t="shared" si="1"/>
        <v>35.200000000000003</v>
      </c>
      <c r="AL155" s="54">
        <f t="shared" si="1"/>
        <v>35.200000000000003</v>
      </c>
      <c r="AM155" s="54">
        <f t="shared" si="1"/>
        <v>35.200000000000003</v>
      </c>
      <c r="AN155" s="54">
        <f t="shared" si="1"/>
        <v>35.200000000000003</v>
      </c>
      <c r="AO155" s="54">
        <f t="shared" si="1"/>
        <v>35.200000000000003</v>
      </c>
      <c r="AP155" s="54">
        <f t="shared" si="1"/>
        <v>35.200000000000003</v>
      </c>
      <c r="AQ155" s="54">
        <f t="shared" si="1"/>
        <v>35.200000000000003</v>
      </c>
      <c r="AR155" s="54">
        <f t="shared" si="1"/>
        <v>35.200000000000003</v>
      </c>
      <c r="AS155" s="54">
        <f t="shared" si="1"/>
        <v>35.200000000000003</v>
      </c>
      <c r="AT155" s="54">
        <f t="shared" si="1"/>
        <v>35.200000000000003</v>
      </c>
      <c r="AU155" s="54">
        <f t="shared" si="1"/>
        <v>35.200000000000003</v>
      </c>
      <c r="AV155" s="54">
        <f t="shared" si="1"/>
        <v>35.200000000000003</v>
      </c>
      <c r="AW155" s="54">
        <f t="shared" si="1"/>
        <v>35.200000000000003</v>
      </c>
      <c r="AX155" s="54">
        <f t="shared" si="1"/>
        <v>35.200000000000003</v>
      </c>
      <c r="AY155" s="54">
        <f t="shared" si="1"/>
        <v>35.200000000000003</v>
      </c>
      <c r="AZ155" s="54">
        <f t="shared" si="1"/>
        <v>35.200000000000003</v>
      </c>
      <c r="BA155" s="54">
        <f t="shared" si="1"/>
        <v>35.200000000000003</v>
      </c>
      <c r="BB155" s="54">
        <f t="shared" si="1"/>
        <v>35.200000000000003</v>
      </c>
      <c r="BC155" s="54">
        <f t="shared" si="1"/>
        <v>35.200000000000003</v>
      </c>
      <c r="BD155" s="54">
        <f t="shared" si="1"/>
        <v>35.200000000000003</v>
      </c>
      <c r="BE155" s="54">
        <f t="shared" si="1"/>
        <v>35.200000000000003</v>
      </c>
      <c r="BF155" s="54">
        <f t="shared" si="1"/>
        <v>35.200000000000003</v>
      </c>
      <c r="BG155" s="54">
        <f t="shared" si="1"/>
        <v>35.200000000000003</v>
      </c>
      <c r="BH155" s="46"/>
      <c r="BI155" s="46"/>
      <c r="BJ155" s="46"/>
      <c r="BK155" s="46"/>
      <c r="BL155" s="46"/>
      <c r="BM155" s="46"/>
    </row>
    <row r="156" spans="1:65" ht="22.5" customHeight="1" x14ac:dyDescent="0.25">
      <c r="A156" s="2"/>
      <c r="B156" s="2"/>
      <c r="C156" s="2"/>
      <c r="D156" s="2"/>
      <c r="E156" s="83" t="s">
        <v>225</v>
      </c>
      <c r="F156" s="84"/>
      <c r="G156" s="54"/>
      <c r="H156" s="54">
        <f t="shared" ref="H156:BG156" si="2">0.6*H155</f>
        <v>21.12</v>
      </c>
      <c r="I156" s="54">
        <f t="shared" si="2"/>
        <v>21.12</v>
      </c>
      <c r="J156" s="54">
        <f t="shared" si="2"/>
        <v>21.12</v>
      </c>
      <c r="K156" s="54">
        <f t="shared" si="2"/>
        <v>21.12</v>
      </c>
      <c r="L156" s="54">
        <f t="shared" si="2"/>
        <v>21.12</v>
      </c>
      <c r="M156" s="54">
        <f t="shared" si="2"/>
        <v>21.12</v>
      </c>
      <c r="N156" s="54">
        <f t="shared" si="2"/>
        <v>21.12</v>
      </c>
      <c r="O156" s="54">
        <f t="shared" si="2"/>
        <v>21.12</v>
      </c>
      <c r="P156" s="54">
        <f t="shared" si="2"/>
        <v>21.12</v>
      </c>
      <c r="Q156" s="54">
        <f t="shared" si="2"/>
        <v>21.12</v>
      </c>
      <c r="R156" s="54">
        <f t="shared" si="2"/>
        <v>21.12</v>
      </c>
      <c r="S156" s="54">
        <f t="shared" si="2"/>
        <v>21.12</v>
      </c>
      <c r="T156" s="54">
        <f t="shared" si="2"/>
        <v>21.12</v>
      </c>
      <c r="U156" s="55">
        <f t="shared" si="2"/>
        <v>21.12</v>
      </c>
      <c r="V156" s="54">
        <f t="shared" si="2"/>
        <v>21.12</v>
      </c>
      <c r="W156" s="54">
        <f t="shared" si="2"/>
        <v>21.12</v>
      </c>
      <c r="X156" s="54">
        <f t="shared" si="2"/>
        <v>21.12</v>
      </c>
      <c r="Y156" s="54">
        <f t="shared" si="2"/>
        <v>21.12</v>
      </c>
      <c r="Z156" s="54">
        <f t="shared" si="2"/>
        <v>21.12</v>
      </c>
      <c r="AA156" s="54">
        <f t="shared" si="2"/>
        <v>21.12</v>
      </c>
      <c r="AB156" s="54">
        <f t="shared" si="2"/>
        <v>21.12</v>
      </c>
      <c r="AC156" s="54">
        <f t="shared" si="2"/>
        <v>21.12</v>
      </c>
      <c r="AD156" s="54">
        <f t="shared" si="2"/>
        <v>21.12</v>
      </c>
      <c r="AE156" s="54">
        <f t="shared" si="2"/>
        <v>21.12</v>
      </c>
      <c r="AF156" s="54">
        <f t="shared" si="2"/>
        <v>21.12</v>
      </c>
      <c r="AG156" s="54">
        <f t="shared" si="2"/>
        <v>21.12</v>
      </c>
      <c r="AH156" s="54">
        <f t="shared" si="2"/>
        <v>21.12</v>
      </c>
      <c r="AI156" s="54">
        <f t="shared" si="2"/>
        <v>21.12</v>
      </c>
      <c r="AJ156" s="54">
        <f t="shared" si="2"/>
        <v>21.12</v>
      </c>
      <c r="AK156" s="54">
        <f t="shared" si="2"/>
        <v>21.12</v>
      </c>
      <c r="AL156" s="54">
        <f t="shared" si="2"/>
        <v>21.12</v>
      </c>
      <c r="AM156" s="54">
        <f t="shared" si="2"/>
        <v>21.12</v>
      </c>
      <c r="AN156" s="54">
        <f t="shared" si="2"/>
        <v>21.12</v>
      </c>
      <c r="AO156" s="54">
        <f t="shared" si="2"/>
        <v>21.12</v>
      </c>
      <c r="AP156" s="54">
        <f t="shared" si="2"/>
        <v>21.12</v>
      </c>
      <c r="AQ156" s="54">
        <f t="shared" si="2"/>
        <v>21.12</v>
      </c>
      <c r="AR156" s="54">
        <f t="shared" si="2"/>
        <v>21.12</v>
      </c>
      <c r="AS156" s="54">
        <f t="shared" si="2"/>
        <v>21.12</v>
      </c>
      <c r="AT156" s="54">
        <f t="shared" si="2"/>
        <v>21.12</v>
      </c>
      <c r="AU156" s="54">
        <f t="shared" si="2"/>
        <v>21.12</v>
      </c>
      <c r="AV156" s="54">
        <f t="shared" si="2"/>
        <v>21.12</v>
      </c>
      <c r="AW156" s="54">
        <f t="shared" si="2"/>
        <v>21.12</v>
      </c>
      <c r="AX156" s="54">
        <f t="shared" si="2"/>
        <v>21.12</v>
      </c>
      <c r="AY156" s="54">
        <f t="shared" si="2"/>
        <v>21.12</v>
      </c>
      <c r="AZ156" s="54">
        <f t="shared" si="2"/>
        <v>21.12</v>
      </c>
      <c r="BA156" s="54">
        <f t="shared" si="2"/>
        <v>21.12</v>
      </c>
      <c r="BB156" s="54">
        <f t="shared" si="2"/>
        <v>21.12</v>
      </c>
      <c r="BC156" s="54">
        <f t="shared" si="2"/>
        <v>21.12</v>
      </c>
      <c r="BD156" s="54">
        <f t="shared" si="2"/>
        <v>21.12</v>
      </c>
      <c r="BE156" s="54">
        <f t="shared" si="2"/>
        <v>21.12</v>
      </c>
      <c r="BF156" s="54">
        <f t="shared" si="2"/>
        <v>21.12</v>
      </c>
      <c r="BG156" s="56">
        <f t="shared" si="2"/>
        <v>21.12</v>
      </c>
      <c r="BH156" s="46"/>
      <c r="BI156" s="46"/>
      <c r="BJ156" s="46"/>
      <c r="BK156" s="46"/>
      <c r="BL156" s="46"/>
      <c r="BM156" s="46"/>
    </row>
    <row r="157" spans="1:65" ht="22.5" customHeight="1" x14ac:dyDescent="0.25">
      <c r="A157" s="2"/>
      <c r="B157" s="2"/>
      <c r="C157" s="2"/>
      <c r="D157" s="2"/>
      <c r="E157" s="95" t="s">
        <v>226</v>
      </c>
      <c r="F157" s="84"/>
      <c r="G157" s="57"/>
      <c r="H157" s="57">
        <v>30</v>
      </c>
      <c r="I157" s="57">
        <v>30</v>
      </c>
      <c r="J157" s="57">
        <v>30</v>
      </c>
      <c r="K157" s="57">
        <v>30</v>
      </c>
      <c r="L157" s="57">
        <v>30</v>
      </c>
      <c r="M157" s="57">
        <v>30</v>
      </c>
      <c r="N157" s="57">
        <v>30</v>
      </c>
      <c r="O157" s="57">
        <v>30</v>
      </c>
      <c r="P157" s="57">
        <v>30</v>
      </c>
      <c r="Q157" s="57">
        <v>30</v>
      </c>
      <c r="R157" s="57">
        <v>30</v>
      </c>
      <c r="S157" s="57">
        <v>30</v>
      </c>
      <c r="T157" s="57">
        <v>30</v>
      </c>
      <c r="U157" s="57">
        <v>30</v>
      </c>
      <c r="V157" s="57">
        <v>30</v>
      </c>
      <c r="W157" s="57">
        <v>30</v>
      </c>
      <c r="X157" s="57">
        <v>30</v>
      </c>
      <c r="Y157" s="57">
        <v>30</v>
      </c>
      <c r="Z157" s="57">
        <v>30</v>
      </c>
      <c r="AA157" s="57">
        <v>30</v>
      </c>
      <c r="AB157" s="57">
        <v>30</v>
      </c>
      <c r="AC157" s="57">
        <v>30</v>
      </c>
      <c r="AD157" s="57">
        <v>30</v>
      </c>
      <c r="AE157" s="57">
        <v>30</v>
      </c>
      <c r="AF157" s="57">
        <v>30</v>
      </c>
      <c r="AG157" s="57">
        <v>30</v>
      </c>
      <c r="AH157" s="57">
        <v>30</v>
      </c>
      <c r="AI157" s="57">
        <v>30</v>
      </c>
      <c r="AJ157" s="57">
        <v>30</v>
      </c>
      <c r="AK157" s="57">
        <v>30</v>
      </c>
      <c r="AL157" s="57">
        <v>30</v>
      </c>
      <c r="AM157" s="57">
        <v>30</v>
      </c>
      <c r="AN157" s="57">
        <v>30</v>
      </c>
      <c r="AO157" s="57">
        <v>30</v>
      </c>
      <c r="AP157" s="57">
        <v>30</v>
      </c>
      <c r="AQ157" s="57">
        <v>30</v>
      </c>
      <c r="AR157" s="57">
        <v>30</v>
      </c>
      <c r="AS157" s="57">
        <v>30</v>
      </c>
      <c r="AT157" s="57">
        <v>30</v>
      </c>
      <c r="AU157" s="57">
        <v>30</v>
      </c>
      <c r="AV157" s="57">
        <v>30</v>
      </c>
      <c r="AW157" s="57">
        <v>30</v>
      </c>
      <c r="AX157" s="57">
        <v>30</v>
      </c>
      <c r="AY157" s="57">
        <v>30</v>
      </c>
      <c r="AZ157" s="57">
        <v>30</v>
      </c>
      <c r="BA157" s="57">
        <v>30</v>
      </c>
      <c r="BB157" s="57">
        <v>30</v>
      </c>
      <c r="BC157" s="57">
        <v>30</v>
      </c>
      <c r="BD157" s="57">
        <v>30</v>
      </c>
      <c r="BE157" s="57">
        <v>30</v>
      </c>
      <c r="BF157" s="57">
        <v>30</v>
      </c>
      <c r="BG157" s="57">
        <v>30</v>
      </c>
      <c r="BH157" s="46"/>
      <c r="BI157" s="46"/>
      <c r="BJ157" s="46"/>
      <c r="BK157" s="46"/>
      <c r="BL157" s="46"/>
      <c r="BM157" s="46"/>
    </row>
    <row r="158" spans="1:65" ht="22.5" customHeight="1" x14ac:dyDescent="0.25">
      <c r="A158" s="2"/>
      <c r="B158" s="2"/>
      <c r="C158" s="2"/>
      <c r="D158" s="2"/>
      <c r="E158" s="83" t="s">
        <v>227</v>
      </c>
      <c r="F158" s="84"/>
      <c r="G158" s="54"/>
      <c r="H158" s="54">
        <f t="shared" ref="H158:BG158" si="3">(H154)/H155</f>
        <v>0</v>
      </c>
      <c r="I158" s="54">
        <f t="shared" si="3"/>
        <v>0</v>
      </c>
      <c r="J158" s="54">
        <f t="shared" si="3"/>
        <v>0</v>
      </c>
      <c r="K158" s="54">
        <f t="shared" si="3"/>
        <v>0</v>
      </c>
      <c r="L158" s="54">
        <f t="shared" si="3"/>
        <v>0</v>
      </c>
      <c r="M158" s="54">
        <f t="shared" si="3"/>
        <v>0</v>
      </c>
      <c r="N158" s="54">
        <f t="shared" si="3"/>
        <v>0.79545454545454541</v>
      </c>
      <c r="O158" s="54">
        <f t="shared" si="3"/>
        <v>0</v>
      </c>
      <c r="P158" s="54">
        <f t="shared" si="3"/>
        <v>0</v>
      </c>
      <c r="Q158" s="54">
        <f t="shared" si="3"/>
        <v>0</v>
      </c>
      <c r="R158" s="54">
        <f t="shared" si="3"/>
        <v>0</v>
      </c>
      <c r="S158" s="54">
        <f t="shared" si="3"/>
        <v>0</v>
      </c>
      <c r="T158" s="54">
        <f t="shared" si="3"/>
        <v>0</v>
      </c>
      <c r="U158" s="54">
        <f t="shared" si="3"/>
        <v>0.17045454545454544</v>
      </c>
      <c r="V158" s="54">
        <f t="shared" si="3"/>
        <v>0</v>
      </c>
      <c r="W158" s="54">
        <f t="shared" si="3"/>
        <v>0</v>
      </c>
      <c r="X158" s="54">
        <f t="shared" si="3"/>
        <v>0</v>
      </c>
      <c r="Y158" s="54">
        <f t="shared" si="3"/>
        <v>0</v>
      </c>
      <c r="Z158" s="54">
        <f t="shared" si="3"/>
        <v>0</v>
      </c>
      <c r="AA158" s="54">
        <f t="shared" si="3"/>
        <v>0</v>
      </c>
      <c r="AB158" s="54">
        <f t="shared" si="3"/>
        <v>0</v>
      </c>
      <c r="AC158" s="54">
        <f t="shared" si="3"/>
        <v>0</v>
      </c>
      <c r="AD158" s="54">
        <f t="shared" si="3"/>
        <v>0</v>
      </c>
      <c r="AE158" s="54">
        <f t="shared" si="3"/>
        <v>0</v>
      </c>
      <c r="AF158" s="54">
        <f t="shared" si="3"/>
        <v>0</v>
      </c>
      <c r="AG158" s="54">
        <f t="shared" si="3"/>
        <v>0</v>
      </c>
      <c r="AH158" s="54">
        <f t="shared" si="3"/>
        <v>0.3125</v>
      </c>
      <c r="AI158" s="54">
        <f t="shared" si="3"/>
        <v>0</v>
      </c>
      <c r="AJ158" s="54">
        <f t="shared" si="3"/>
        <v>0</v>
      </c>
      <c r="AK158" s="54">
        <f t="shared" si="3"/>
        <v>0</v>
      </c>
      <c r="AL158" s="54">
        <f t="shared" si="3"/>
        <v>0</v>
      </c>
      <c r="AM158" s="54">
        <f t="shared" si="3"/>
        <v>0</v>
      </c>
      <c r="AN158" s="54">
        <f t="shared" si="3"/>
        <v>0</v>
      </c>
      <c r="AO158" s="54">
        <f t="shared" si="3"/>
        <v>0.32670454545454541</v>
      </c>
      <c r="AP158" s="54">
        <f t="shared" si="3"/>
        <v>0.68181818181818177</v>
      </c>
      <c r="AQ158" s="54">
        <f t="shared" si="3"/>
        <v>0.28977272727272724</v>
      </c>
      <c r="AR158" s="54">
        <f t="shared" si="3"/>
        <v>0.60227272727272718</v>
      </c>
      <c r="AS158" s="54">
        <f t="shared" si="3"/>
        <v>0.45454545454545453</v>
      </c>
      <c r="AT158" s="54">
        <f t="shared" si="3"/>
        <v>0</v>
      </c>
      <c r="AU158" s="54">
        <f t="shared" si="3"/>
        <v>0</v>
      </c>
      <c r="AV158" s="54">
        <f t="shared" si="3"/>
        <v>0</v>
      </c>
      <c r="AW158" s="54">
        <f t="shared" si="3"/>
        <v>0.17045454545454544</v>
      </c>
      <c r="AX158" s="54">
        <f t="shared" si="3"/>
        <v>0</v>
      </c>
      <c r="AY158" s="54">
        <f t="shared" si="3"/>
        <v>0</v>
      </c>
      <c r="AZ158" s="54">
        <f t="shared" si="3"/>
        <v>0.14204545454545453</v>
      </c>
      <c r="BA158" s="54">
        <f t="shared" si="3"/>
        <v>0</v>
      </c>
      <c r="BB158" s="54">
        <f t="shared" si="3"/>
        <v>0.45454545454545453</v>
      </c>
      <c r="BC158" s="54">
        <f t="shared" si="3"/>
        <v>0.3125</v>
      </c>
      <c r="BD158" s="54">
        <f t="shared" si="3"/>
        <v>0</v>
      </c>
      <c r="BE158" s="54">
        <f t="shared" si="3"/>
        <v>5.681818181818182E-3</v>
      </c>
      <c r="BF158" s="54">
        <f t="shared" si="3"/>
        <v>1.4204545454545454E-2</v>
      </c>
      <c r="BG158" s="54">
        <f t="shared" si="3"/>
        <v>0</v>
      </c>
      <c r="BH158" s="46"/>
      <c r="BI158" s="46"/>
      <c r="BJ158" s="46"/>
      <c r="BK158" s="46"/>
      <c r="BL158" s="46"/>
      <c r="BM158" s="46"/>
    </row>
    <row r="159" spans="1:65" ht="22.5" customHeight="1" x14ac:dyDescent="0.25">
      <c r="A159" s="2"/>
      <c r="B159" s="2"/>
      <c r="C159" s="2"/>
      <c r="D159" s="2"/>
      <c r="E159" s="58"/>
      <c r="F159" s="59"/>
      <c r="G159" s="2"/>
      <c r="H159" s="2"/>
      <c r="I159" s="2"/>
      <c r="J159" s="2"/>
      <c r="K159" s="2"/>
      <c r="L159" s="60"/>
      <c r="M159" s="60"/>
      <c r="N159" s="2"/>
      <c r="O159" s="2"/>
      <c r="P159" s="2"/>
      <c r="Q159" s="2"/>
      <c r="R159" s="2"/>
      <c r="S159" s="2"/>
      <c r="T159" s="2"/>
      <c r="U159" s="3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</row>
    <row r="160" spans="1:65" ht="22.5" customHeight="1" x14ac:dyDescent="0.25">
      <c r="A160" s="2"/>
      <c r="B160" s="2"/>
      <c r="C160" s="2"/>
      <c r="D160" s="2"/>
      <c r="E160" s="58"/>
      <c r="F160" s="59"/>
      <c r="G160" s="2"/>
      <c r="H160" s="2"/>
      <c r="I160" s="2"/>
      <c r="J160" s="2"/>
      <c r="K160" s="2"/>
      <c r="L160" s="60"/>
      <c r="M160" s="60"/>
      <c r="N160" s="2"/>
      <c r="O160" s="2"/>
      <c r="P160" s="2"/>
      <c r="Q160" s="2"/>
      <c r="R160" s="2"/>
      <c r="S160" s="2"/>
      <c r="T160" s="2"/>
      <c r="U160" s="3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</row>
    <row r="161" spans="1:65" ht="22.5" customHeight="1" x14ac:dyDescent="0.25">
      <c r="A161" s="2"/>
      <c r="B161" s="2"/>
      <c r="C161" s="2"/>
      <c r="D161" s="2"/>
      <c r="E161" s="58"/>
      <c r="F161" s="85" t="s">
        <v>228</v>
      </c>
      <c r="G161" s="86"/>
      <c r="H161" s="86"/>
      <c r="I161" s="86"/>
      <c r="J161" s="86"/>
      <c r="K161" s="2"/>
      <c r="L161" s="61"/>
      <c r="M161" s="2" t="s">
        <v>229</v>
      </c>
      <c r="N161" s="2"/>
      <c r="O161" s="2"/>
      <c r="P161" s="62"/>
      <c r="Q161" s="2" t="s">
        <v>166</v>
      </c>
      <c r="R161" s="2"/>
      <c r="S161" s="63"/>
      <c r="T161" s="19" t="s">
        <v>140</v>
      </c>
      <c r="U161" s="64"/>
      <c r="V161" s="20"/>
      <c r="W161" s="2" t="s">
        <v>67</v>
      </c>
      <c r="X161" s="2"/>
      <c r="Y161" s="2"/>
      <c r="Z161" s="18"/>
      <c r="AA161" s="2" t="s">
        <v>65</v>
      </c>
      <c r="AB161" s="2"/>
      <c r="AC161" s="2"/>
      <c r="AD161" s="16"/>
      <c r="AE161" s="2" t="s">
        <v>62</v>
      </c>
      <c r="AF161" s="19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</row>
    <row r="162" spans="1:65" ht="22.5" customHeight="1" x14ac:dyDescent="0.25">
      <c r="A162" s="2"/>
      <c r="B162" s="2"/>
      <c r="C162" s="2"/>
      <c r="D162" s="2"/>
      <c r="E162" s="58"/>
      <c r="F162" s="59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3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</row>
    <row r="163" spans="1:65" ht="22.5" customHeight="1" x14ac:dyDescent="0.25">
      <c r="A163" s="2"/>
      <c r="B163" s="2"/>
      <c r="C163" s="65"/>
      <c r="D163" s="2"/>
      <c r="E163" s="58"/>
      <c r="F163" s="59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3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</row>
    <row r="164" spans="1:65" ht="14.25" customHeight="1" x14ac:dyDescent="0.25">
      <c r="A164" s="2"/>
      <c r="B164" s="2"/>
      <c r="C164" s="2"/>
      <c r="D164" s="2"/>
      <c r="E164" s="3"/>
      <c r="F164" s="59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3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</row>
    <row r="165" spans="1:65" ht="15.75" x14ac:dyDescent="0.25">
      <c r="A165" s="2"/>
      <c r="B165" s="2"/>
      <c r="C165" s="2"/>
      <c r="D165" s="2"/>
      <c r="E165" s="66"/>
      <c r="F165" s="59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3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</row>
    <row r="166" spans="1:65" ht="14.25" customHeight="1" x14ac:dyDescent="0.25">
      <c r="A166" s="2"/>
      <c r="B166" s="2"/>
      <c r="C166" s="2"/>
      <c r="D166" s="2"/>
      <c r="E166" s="58"/>
      <c r="F166" s="59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3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</row>
    <row r="167" spans="1:65" ht="14.25" customHeight="1" x14ac:dyDescent="0.25">
      <c r="A167" s="2"/>
      <c r="B167" s="2"/>
      <c r="C167" s="2"/>
      <c r="D167" s="2"/>
      <c r="E167" s="58"/>
      <c r="F167" s="59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3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</row>
    <row r="168" spans="1:65" ht="14.25" customHeight="1" x14ac:dyDescent="0.25">
      <c r="A168" s="2"/>
      <c r="B168" s="2"/>
      <c r="C168" s="2"/>
      <c r="D168" s="2"/>
      <c r="E168" s="58"/>
      <c r="F168" s="59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3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</row>
    <row r="169" spans="1:65" ht="14.25" customHeight="1" x14ac:dyDescent="0.25">
      <c r="A169" s="2"/>
      <c r="B169" s="2"/>
      <c r="C169" s="2"/>
      <c r="D169" s="2"/>
      <c r="E169" s="58"/>
      <c r="F169" s="59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3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</row>
    <row r="170" spans="1:65" ht="14.25" customHeight="1" x14ac:dyDescent="0.25">
      <c r="A170" s="2"/>
      <c r="B170" s="2"/>
      <c r="C170" s="2"/>
      <c r="D170" s="2"/>
      <c r="E170" s="58"/>
      <c r="F170" s="59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3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</row>
    <row r="171" spans="1:65" ht="14.25" customHeight="1" x14ac:dyDescent="0.25">
      <c r="A171" s="2"/>
      <c r="B171" s="2"/>
      <c r="C171" s="2"/>
      <c r="D171" s="2"/>
      <c r="E171" s="58"/>
      <c r="F171" s="59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3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</row>
    <row r="172" spans="1:65" ht="14.25" customHeight="1" x14ac:dyDescent="0.25">
      <c r="A172" s="2"/>
      <c r="B172" s="2"/>
      <c r="C172" s="2"/>
      <c r="D172" s="2"/>
      <c r="E172" s="58"/>
      <c r="F172" s="59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3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</row>
    <row r="173" spans="1:65" ht="14.25" customHeight="1" x14ac:dyDescent="0.25">
      <c r="A173" s="2"/>
      <c r="B173" s="2"/>
      <c r="C173" s="2"/>
      <c r="D173" s="2"/>
      <c r="E173" s="58"/>
      <c r="F173" s="59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3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 spans="1:65" ht="14.25" customHeight="1" x14ac:dyDescent="0.25">
      <c r="A174" s="2"/>
      <c r="B174" s="2"/>
      <c r="C174" s="2"/>
      <c r="D174" s="2"/>
      <c r="E174" s="58"/>
      <c r="F174" s="59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3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</row>
    <row r="175" spans="1:65" ht="14.25" customHeight="1" x14ac:dyDescent="0.25">
      <c r="A175" s="2"/>
      <c r="B175" s="2"/>
      <c r="C175" s="2"/>
      <c r="D175" s="2"/>
      <c r="E175" s="58"/>
      <c r="F175" s="59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3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</row>
    <row r="176" spans="1:65" ht="14.25" customHeight="1" x14ac:dyDescent="0.25">
      <c r="A176" s="2"/>
      <c r="B176" s="2"/>
      <c r="C176" s="2"/>
      <c r="D176" s="2"/>
      <c r="E176" s="58"/>
      <c r="F176" s="59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3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 spans="1:65" ht="14.25" customHeight="1" x14ac:dyDescent="0.25">
      <c r="A177" s="2"/>
      <c r="B177" s="2"/>
      <c r="C177" s="2"/>
      <c r="D177" s="2"/>
      <c r="E177" s="58"/>
      <c r="F177" s="59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3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</row>
    <row r="178" spans="1:65" ht="14.25" customHeight="1" x14ac:dyDescent="0.25">
      <c r="A178" s="2"/>
      <c r="B178" s="2"/>
      <c r="C178" s="2"/>
      <c r="D178" s="2"/>
      <c r="E178" s="58"/>
      <c r="F178" s="59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3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</row>
    <row r="179" spans="1:65" ht="14.25" customHeight="1" x14ac:dyDescent="0.25">
      <c r="A179" s="2"/>
      <c r="B179" s="2"/>
      <c r="C179" s="2"/>
      <c r="D179" s="2"/>
      <c r="E179" s="58"/>
      <c r="F179" s="59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3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</row>
    <row r="180" spans="1:65" ht="14.25" customHeight="1" x14ac:dyDescent="0.25">
      <c r="A180" s="2"/>
      <c r="B180" s="2"/>
      <c r="C180" s="2"/>
      <c r="D180" s="2"/>
      <c r="E180" s="58"/>
      <c r="F180" s="59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3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</row>
    <row r="181" spans="1:65" ht="14.25" customHeight="1" x14ac:dyDescent="0.25">
      <c r="A181" s="2"/>
      <c r="B181" s="2"/>
      <c r="C181" s="2"/>
      <c r="D181" s="2"/>
      <c r="E181" s="58"/>
      <c r="F181" s="59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3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</row>
    <row r="182" spans="1:65" ht="14.25" customHeight="1" x14ac:dyDescent="0.25">
      <c r="A182" s="2"/>
      <c r="B182" s="2"/>
      <c r="C182" s="2"/>
      <c r="D182" s="2"/>
      <c r="E182" s="58"/>
      <c r="F182" s="59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3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</row>
    <row r="183" spans="1:65" ht="14.25" customHeight="1" x14ac:dyDescent="0.25">
      <c r="A183" s="2"/>
      <c r="B183" s="2"/>
      <c r="C183" s="2"/>
      <c r="D183" s="2"/>
      <c r="E183" s="58"/>
      <c r="F183" s="59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3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</row>
    <row r="184" spans="1:65" ht="14.25" customHeight="1" x14ac:dyDescent="0.25">
      <c r="A184" s="2"/>
      <c r="B184" s="2"/>
      <c r="C184" s="2"/>
      <c r="D184" s="2"/>
      <c r="E184" s="58"/>
      <c r="F184" s="59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3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</row>
    <row r="185" spans="1:65" ht="14.25" customHeight="1" x14ac:dyDescent="0.25">
      <c r="A185" s="2"/>
      <c r="B185" s="2"/>
      <c r="C185" s="2"/>
      <c r="D185" s="2"/>
      <c r="E185" s="58"/>
      <c r="F185" s="59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3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</row>
    <row r="186" spans="1:65" ht="14.25" customHeight="1" x14ac:dyDescent="0.25">
      <c r="A186" s="2"/>
      <c r="B186" s="2"/>
      <c r="C186" s="2"/>
      <c r="D186" s="2"/>
      <c r="E186" s="58"/>
      <c r="F186" s="59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3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</row>
    <row r="187" spans="1:65" ht="14.25" customHeight="1" x14ac:dyDescent="0.25">
      <c r="A187" s="2"/>
      <c r="B187" s="2"/>
      <c r="C187" s="2"/>
      <c r="D187" s="2"/>
      <c r="E187" s="58"/>
      <c r="F187" s="59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3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</row>
    <row r="188" spans="1:65" ht="14.25" customHeight="1" x14ac:dyDescent="0.25">
      <c r="A188" s="2"/>
      <c r="B188" s="2"/>
      <c r="C188" s="2"/>
      <c r="D188" s="2"/>
      <c r="E188" s="58"/>
      <c r="F188" s="59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3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</row>
    <row r="189" spans="1:65" ht="14.25" customHeight="1" x14ac:dyDescent="0.25">
      <c r="A189" s="2"/>
      <c r="B189" s="2"/>
      <c r="C189" s="2"/>
      <c r="D189" s="2"/>
      <c r="E189" s="58"/>
      <c r="F189" s="59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3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</row>
    <row r="190" spans="1:65" ht="14.25" customHeight="1" x14ac:dyDescent="0.25">
      <c r="A190" s="2"/>
      <c r="B190" s="2"/>
      <c r="C190" s="2"/>
      <c r="D190" s="2"/>
      <c r="E190" s="58"/>
      <c r="F190" s="59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3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</row>
    <row r="191" spans="1:65" ht="14.25" customHeight="1" x14ac:dyDescent="0.25">
      <c r="A191" s="2"/>
      <c r="B191" s="2"/>
      <c r="C191" s="2"/>
      <c r="D191" s="2"/>
      <c r="E191" s="58"/>
      <c r="F191" s="59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3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</row>
    <row r="192" spans="1:65" ht="14.25" customHeight="1" x14ac:dyDescent="0.25">
      <c r="A192" s="2"/>
      <c r="B192" s="2"/>
      <c r="C192" s="2"/>
      <c r="D192" s="2"/>
      <c r="E192" s="58"/>
      <c r="F192" s="59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3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</row>
    <row r="193" spans="1:65" ht="14.25" customHeight="1" x14ac:dyDescent="0.25">
      <c r="A193" s="2"/>
      <c r="B193" s="2"/>
      <c r="C193" s="2"/>
      <c r="D193" s="2"/>
      <c r="E193" s="58"/>
      <c r="F193" s="59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3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</row>
    <row r="194" spans="1:65" ht="14.25" customHeight="1" x14ac:dyDescent="0.25">
      <c r="A194" s="2"/>
      <c r="B194" s="2"/>
      <c r="C194" s="2"/>
      <c r="D194" s="2"/>
      <c r="E194" s="58"/>
      <c r="F194" s="59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3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</row>
    <row r="195" spans="1:65" ht="14.25" customHeight="1" x14ac:dyDescent="0.25">
      <c r="A195" s="2"/>
      <c r="B195" s="2"/>
      <c r="C195" s="2"/>
      <c r="D195" s="2"/>
      <c r="E195" s="58"/>
      <c r="F195" s="59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3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</row>
    <row r="196" spans="1:65" ht="14.25" customHeight="1" x14ac:dyDescent="0.25">
      <c r="A196" s="2"/>
      <c r="B196" s="2"/>
      <c r="C196" s="2"/>
      <c r="D196" s="2"/>
      <c r="E196" s="58"/>
      <c r="F196" s="59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3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</row>
    <row r="197" spans="1:65" ht="14.25" customHeight="1" x14ac:dyDescent="0.25">
      <c r="A197" s="2"/>
      <c r="B197" s="2"/>
      <c r="C197" s="2"/>
      <c r="D197" s="2"/>
      <c r="E197" s="58"/>
      <c r="F197" s="59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3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</row>
    <row r="198" spans="1:65" ht="14.25" customHeight="1" x14ac:dyDescent="0.25">
      <c r="A198" s="2"/>
      <c r="B198" s="2"/>
      <c r="C198" s="2"/>
      <c r="D198" s="2"/>
      <c r="E198" s="58"/>
      <c r="F198" s="59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3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</row>
    <row r="199" spans="1:65" ht="14.25" customHeight="1" x14ac:dyDescent="0.25">
      <c r="A199" s="2"/>
      <c r="B199" s="2"/>
      <c r="C199" s="2"/>
      <c r="D199" s="2"/>
      <c r="E199" s="58"/>
      <c r="F199" s="59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3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</row>
    <row r="200" spans="1:65" ht="14.25" customHeight="1" x14ac:dyDescent="0.25">
      <c r="A200" s="2"/>
      <c r="B200" s="2"/>
      <c r="C200" s="2"/>
      <c r="D200" s="2"/>
      <c r="E200" s="58"/>
      <c r="F200" s="59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3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</row>
    <row r="201" spans="1:65" ht="14.25" customHeight="1" x14ac:dyDescent="0.25">
      <c r="A201" s="2"/>
      <c r="B201" s="2"/>
      <c r="C201" s="2"/>
      <c r="D201" s="2"/>
      <c r="E201" s="58"/>
      <c r="F201" s="59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3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</row>
    <row r="202" spans="1:65" ht="14.25" customHeight="1" x14ac:dyDescent="0.25">
      <c r="A202" s="2"/>
      <c r="B202" s="2"/>
      <c r="C202" s="2"/>
      <c r="D202" s="2"/>
      <c r="E202" s="58"/>
      <c r="F202" s="59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3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</row>
    <row r="203" spans="1:65" ht="14.25" customHeight="1" x14ac:dyDescent="0.25">
      <c r="A203" s="2"/>
      <c r="B203" s="2"/>
      <c r="C203" s="2"/>
      <c r="D203" s="2"/>
      <c r="E203" s="58"/>
      <c r="F203" s="59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3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</row>
    <row r="204" spans="1:65" ht="14.25" customHeight="1" x14ac:dyDescent="0.25">
      <c r="A204" s="2"/>
      <c r="B204" s="2"/>
      <c r="C204" s="2"/>
      <c r="D204" s="2"/>
      <c r="E204" s="58"/>
      <c r="F204" s="59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3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</row>
    <row r="205" spans="1:65" ht="14.25" customHeight="1" x14ac:dyDescent="0.25">
      <c r="A205" s="2"/>
      <c r="B205" s="2"/>
      <c r="C205" s="2"/>
      <c r="D205" s="2"/>
      <c r="E205" s="58"/>
      <c r="F205" s="59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3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</row>
    <row r="206" spans="1:65" ht="14.25" customHeight="1" x14ac:dyDescent="0.25">
      <c r="A206" s="2"/>
      <c r="B206" s="2"/>
      <c r="C206" s="2"/>
      <c r="D206" s="2"/>
      <c r="E206" s="58"/>
      <c r="F206" s="59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3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</row>
    <row r="207" spans="1:65" ht="14.25" customHeight="1" x14ac:dyDescent="0.25">
      <c r="A207" s="2"/>
      <c r="B207" s="2"/>
      <c r="C207" s="2"/>
      <c r="D207" s="2"/>
      <c r="E207" s="58"/>
      <c r="F207" s="59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3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</row>
    <row r="208" spans="1:65" ht="14.25" customHeight="1" x14ac:dyDescent="0.25">
      <c r="A208" s="2"/>
      <c r="B208" s="2"/>
      <c r="C208" s="2"/>
      <c r="D208" s="2"/>
      <c r="E208" s="58"/>
      <c r="F208" s="59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3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</row>
    <row r="209" spans="1:65" ht="14.25" customHeight="1" x14ac:dyDescent="0.25">
      <c r="A209" s="2"/>
      <c r="B209" s="2"/>
      <c r="C209" s="2"/>
      <c r="D209" s="2"/>
      <c r="E209" s="58"/>
      <c r="F209" s="59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3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</row>
    <row r="210" spans="1:65" ht="14.25" customHeight="1" x14ac:dyDescent="0.25">
      <c r="A210" s="2"/>
      <c r="B210" s="2"/>
      <c r="C210" s="2"/>
      <c r="D210" s="2"/>
      <c r="E210" s="58"/>
      <c r="F210" s="59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3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</row>
    <row r="211" spans="1:65" ht="14.25" customHeight="1" x14ac:dyDescent="0.25">
      <c r="A211" s="2"/>
      <c r="B211" s="2"/>
      <c r="C211" s="2"/>
      <c r="D211" s="2"/>
      <c r="E211" s="58"/>
      <c r="F211" s="59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3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</row>
    <row r="212" spans="1:65" ht="14.25" customHeight="1" x14ac:dyDescent="0.25">
      <c r="A212" s="2"/>
      <c r="B212" s="2"/>
      <c r="C212" s="2"/>
      <c r="D212" s="2"/>
      <c r="E212" s="58"/>
      <c r="F212" s="59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3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</row>
    <row r="213" spans="1:65" ht="14.25" customHeight="1" x14ac:dyDescent="0.25">
      <c r="A213" s="2"/>
      <c r="B213" s="2"/>
      <c r="C213" s="2"/>
      <c r="D213" s="2"/>
      <c r="E213" s="58"/>
      <c r="F213" s="59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3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</row>
    <row r="214" spans="1:65" ht="14.25" customHeight="1" x14ac:dyDescent="0.25">
      <c r="A214" s="2"/>
      <c r="B214" s="2"/>
      <c r="C214" s="2"/>
      <c r="D214" s="2"/>
      <c r="E214" s="58"/>
      <c r="F214" s="59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3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</row>
    <row r="215" spans="1:65" ht="14.25" customHeight="1" x14ac:dyDescent="0.25">
      <c r="A215" s="2"/>
      <c r="B215" s="2"/>
      <c r="C215" s="2"/>
      <c r="D215" s="2"/>
      <c r="E215" s="58"/>
      <c r="F215" s="59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3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</row>
    <row r="216" spans="1:65" ht="14.25" customHeight="1" x14ac:dyDescent="0.25">
      <c r="A216" s="2"/>
      <c r="B216" s="2"/>
      <c r="C216" s="2"/>
      <c r="D216" s="2"/>
      <c r="E216" s="58"/>
      <c r="F216" s="59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3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</row>
    <row r="217" spans="1:65" ht="14.25" customHeight="1" x14ac:dyDescent="0.25">
      <c r="A217" s="2"/>
      <c r="B217" s="2"/>
      <c r="C217" s="2"/>
      <c r="D217" s="2"/>
      <c r="E217" s="58"/>
      <c r="F217" s="59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3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</row>
    <row r="218" spans="1:65" ht="14.25" customHeight="1" x14ac:dyDescent="0.25">
      <c r="A218" s="2"/>
      <c r="B218" s="2"/>
      <c r="C218" s="2"/>
      <c r="D218" s="2"/>
      <c r="E218" s="58"/>
      <c r="F218" s="59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3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</row>
    <row r="219" spans="1:65" ht="14.25" customHeight="1" x14ac:dyDescent="0.25">
      <c r="A219" s="2"/>
      <c r="B219" s="2"/>
      <c r="C219" s="2"/>
      <c r="D219" s="2"/>
      <c r="E219" s="58"/>
      <c r="F219" s="59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3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</row>
    <row r="220" spans="1:65" ht="14.25" customHeight="1" x14ac:dyDescent="0.25">
      <c r="A220" s="2"/>
      <c r="B220" s="2"/>
      <c r="C220" s="2"/>
      <c r="D220" s="2"/>
      <c r="E220" s="58"/>
      <c r="F220" s="59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3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</row>
    <row r="221" spans="1:65" ht="14.25" customHeight="1" x14ac:dyDescent="0.25">
      <c r="A221" s="2"/>
      <c r="B221" s="2"/>
      <c r="C221" s="2"/>
      <c r="D221" s="2"/>
      <c r="E221" s="58"/>
      <c r="F221" s="59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3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</row>
    <row r="222" spans="1:65" ht="14.25" customHeight="1" x14ac:dyDescent="0.25">
      <c r="A222" s="2"/>
      <c r="B222" s="2"/>
      <c r="C222" s="2"/>
      <c r="D222" s="2"/>
      <c r="E222" s="58"/>
      <c r="F222" s="59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3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</row>
    <row r="223" spans="1:65" ht="14.25" customHeight="1" x14ac:dyDescent="0.25">
      <c r="A223" s="2"/>
      <c r="B223" s="2"/>
      <c r="C223" s="2"/>
      <c r="D223" s="2"/>
      <c r="E223" s="58"/>
      <c r="F223" s="59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3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</row>
    <row r="224" spans="1:65" ht="14.25" customHeight="1" x14ac:dyDescent="0.25">
      <c r="A224" s="2"/>
      <c r="B224" s="2"/>
      <c r="C224" s="2"/>
      <c r="D224" s="2"/>
      <c r="E224" s="58"/>
      <c r="F224" s="59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3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</row>
    <row r="225" spans="1:65" ht="14.25" customHeight="1" x14ac:dyDescent="0.25">
      <c r="A225" s="2"/>
      <c r="B225" s="2"/>
      <c r="C225" s="2"/>
      <c r="D225" s="2"/>
      <c r="E225" s="58"/>
      <c r="F225" s="59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3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</row>
    <row r="226" spans="1:65" ht="14.25" customHeight="1" x14ac:dyDescent="0.25">
      <c r="A226" s="2"/>
      <c r="B226" s="2"/>
      <c r="C226" s="2"/>
      <c r="D226" s="2"/>
      <c r="E226" s="58"/>
      <c r="F226" s="59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3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</row>
    <row r="227" spans="1:65" ht="14.25" customHeight="1" x14ac:dyDescent="0.25">
      <c r="A227" s="2"/>
      <c r="B227" s="2"/>
      <c r="C227" s="2"/>
      <c r="D227" s="2"/>
      <c r="E227" s="58"/>
      <c r="F227" s="59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3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</row>
    <row r="228" spans="1:65" ht="14.25" customHeight="1" x14ac:dyDescent="0.25">
      <c r="A228" s="2"/>
      <c r="B228" s="2"/>
      <c r="C228" s="2"/>
      <c r="D228" s="2"/>
      <c r="E228" s="58"/>
      <c r="F228" s="59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3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</row>
    <row r="229" spans="1:65" ht="14.25" customHeight="1" x14ac:dyDescent="0.25">
      <c r="A229" s="2"/>
      <c r="B229" s="2"/>
      <c r="C229" s="2"/>
      <c r="D229" s="2"/>
      <c r="E229" s="58"/>
      <c r="F229" s="59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3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</row>
    <row r="230" spans="1:65" ht="14.25" customHeight="1" x14ac:dyDescent="0.25">
      <c r="A230" s="2"/>
      <c r="B230" s="2"/>
      <c r="C230" s="2"/>
      <c r="D230" s="2"/>
      <c r="E230" s="58"/>
      <c r="F230" s="59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3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</row>
    <row r="231" spans="1:65" ht="14.25" customHeight="1" x14ac:dyDescent="0.25">
      <c r="A231" s="2"/>
      <c r="B231" s="2"/>
      <c r="C231" s="2"/>
      <c r="D231" s="2"/>
      <c r="E231" s="58"/>
      <c r="F231" s="59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3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</row>
    <row r="232" spans="1:65" ht="14.25" customHeight="1" x14ac:dyDescent="0.25">
      <c r="A232" s="2"/>
      <c r="B232" s="2"/>
      <c r="C232" s="2"/>
      <c r="D232" s="2"/>
      <c r="E232" s="58"/>
      <c r="F232" s="59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3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</row>
    <row r="233" spans="1:65" ht="14.25" customHeight="1" x14ac:dyDescent="0.25">
      <c r="A233" s="2"/>
      <c r="B233" s="2"/>
      <c r="C233" s="2"/>
      <c r="D233" s="2"/>
      <c r="E233" s="58"/>
      <c r="F233" s="59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3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</row>
    <row r="234" spans="1:65" ht="14.25" customHeight="1" x14ac:dyDescent="0.25">
      <c r="A234" s="2"/>
      <c r="B234" s="2"/>
      <c r="C234" s="2"/>
      <c r="D234" s="2"/>
      <c r="E234" s="58"/>
      <c r="F234" s="59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3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</row>
    <row r="235" spans="1:65" ht="14.25" customHeight="1" x14ac:dyDescent="0.25">
      <c r="A235" s="2"/>
      <c r="B235" s="2"/>
      <c r="C235" s="2"/>
      <c r="D235" s="2"/>
      <c r="E235" s="58"/>
      <c r="F235" s="59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3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</row>
    <row r="236" spans="1:65" ht="14.25" customHeight="1" x14ac:dyDescent="0.25">
      <c r="A236" s="2"/>
      <c r="B236" s="2"/>
      <c r="C236" s="2"/>
      <c r="D236" s="2"/>
      <c r="E236" s="58"/>
      <c r="F236" s="59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3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</row>
    <row r="237" spans="1:65" ht="14.25" customHeight="1" x14ac:dyDescent="0.25">
      <c r="A237" s="2"/>
      <c r="B237" s="2"/>
      <c r="C237" s="2"/>
      <c r="D237" s="2"/>
      <c r="E237" s="58"/>
      <c r="F237" s="59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3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</row>
    <row r="238" spans="1:65" ht="14.25" customHeight="1" x14ac:dyDescent="0.25">
      <c r="A238" s="2"/>
      <c r="B238" s="2"/>
      <c r="C238" s="2"/>
      <c r="D238" s="2"/>
      <c r="E238" s="58"/>
      <c r="F238" s="59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3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</row>
    <row r="239" spans="1:65" ht="14.25" customHeight="1" x14ac:dyDescent="0.25">
      <c r="A239" s="2"/>
      <c r="B239" s="2"/>
      <c r="C239" s="2"/>
      <c r="D239" s="2"/>
      <c r="E239" s="58"/>
      <c r="F239" s="59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3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</row>
    <row r="240" spans="1:65" ht="14.25" customHeight="1" x14ac:dyDescent="0.25">
      <c r="A240" s="2"/>
      <c r="B240" s="2"/>
      <c r="C240" s="2"/>
      <c r="D240" s="2"/>
      <c r="E240" s="58"/>
      <c r="F240" s="59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3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</row>
    <row r="241" spans="1:65" ht="14.25" customHeight="1" x14ac:dyDescent="0.25">
      <c r="A241" s="2"/>
      <c r="B241" s="2"/>
      <c r="C241" s="2"/>
      <c r="D241" s="2"/>
      <c r="E241" s="58"/>
      <c r="F241" s="59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3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</row>
    <row r="242" spans="1:65" ht="14.25" customHeight="1" x14ac:dyDescent="0.25">
      <c r="A242" s="2"/>
      <c r="B242" s="2"/>
      <c r="C242" s="2"/>
      <c r="D242" s="2"/>
      <c r="E242" s="58"/>
      <c r="F242" s="59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3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</row>
    <row r="243" spans="1:65" ht="14.25" customHeight="1" x14ac:dyDescent="0.25">
      <c r="A243" s="2"/>
      <c r="B243" s="2"/>
      <c r="C243" s="2"/>
      <c r="D243" s="2"/>
      <c r="E243" s="58"/>
      <c r="F243" s="59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3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</row>
    <row r="244" spans="1:65" ht="14.25" customHeight="1" x14ac:dyDescent="0.25">
      <c r="A244" s="2"/>
      <c r="B244" s="2"/>
      <c r="C244" s="2"/>
      <c r="D244" s="2"/>
      <c r="E244" s="58"/>
      <c r="F244" s="59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3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</row>
    <row r="245" spans="1:65" ht="14.25" customHeight="1" x14ac:dyDescent="0.25">
      <c r="A245" s="2"/>
      <c r="B245" s="2"/>
      <c r="C245" s="2"/>
      <c r="D245" s="2"/>
      <c r="E245" s="58"/>
      <c r="F245" s="59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3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</row>
    <row r="246" spans="1:65" ht="14.25" customHeight="1" x14ac:dyDescent="0.25">
      <c r="A246" s="2"/>
      <c r="B246" s="2"/>
      <c r="C246" s="2"/>
      <c r="D246" s="2"/>
      <c r="E246" s="58"/>
      <c r="F246" s="59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3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</row>
    <row r="247" spans="1:65" ht="14.25" customHeight="1" x14ac:dyDescent="0.25">
      <c r="A247" s="2"/>
      <c r="B247" s="2"/>
      <c r="C247" s="2"/>
      <c r="D247" s="2"/>
      <c r="E247" s="58"/>
      <c r="F247" s="59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3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</row>
    <row r="248" spans="1:65" ht="14.25" customHeight="1" x14ac:dyDescent="0.25">
      <c r="A248" s="2"/>
      <c r="B248" s="2"/>
      <c r="C248" s="2"/>
      <c r="D248" s="2"/>
      <c r="E248" s="58"/>
      <c r="F248" s="59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3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</row>
    <row r="249" spans="1:65" ht="14.25" customHeight="1" x14ac:dyDescent="0.25">
      <c r="A249" s="2"/>
      <c r="B249" s="2"/>
      <c r="C249" s="2"/>
      <c r="D249" s="2"/>
      <c r="E249" s="58"/>
      <c r="F249" s="59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3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</row>
    <row r="250" spans="1:65" ht="14.25" customHeight="1" x14ac:dyDescent="0.25">
      <c r="A250" s="2"/>
      <c r="B250" s="2"/>
      <c r="C250" s="2"/>
      <c r="D250" s="2"/>
      <c r="E250" s="58"/>
      <c r="F250" s="59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3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</row>
    <row r="251" spans="1:65" ht="14.25" customHeight="1" x14ac:dyDescent="0.25">
      <c r="A251" s="2"/>
      <c r="B251" s="2"/>
      <c r="C251" s="2"/>
      <c r="D251" s="2"/>
      <c r="E251" s="58"/>
      <c r="F251" s="59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3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</row>
    <row r="252" spans="1:65" ht="14.25" customHeight="1" x14ac:dyDescent="0.25">
      <c r="A252" s="2"/>
      <c r="B252" s="2"/>
      <c r="C252" s="2"/>
      <c r="D252" s="2"/>
      <c r="E252" s="58"/>
      <c r="F252" s="59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3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</row>
    <row r="253" spans="1:65" ht="14.25" customHeight="1" x14ac:dyDescent="0.25">
      <c r="A253" s="2"/>
      <c r="B253" s="2"/>
      <c r="C253" s="2"/>
      <c r="D253" s="2"/>
      <c r="E253" s="58"/>
      <c r="F253" s="59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3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</row>
    <row r="254" spans="1:65" ht="14.25" customHeight="1" x14ac:dyDescent="0.25">
      <c r="A254" s="2"/>
      <c r="B254" s="2"/>
      <c r="C254" s="2"/>
      <c r="D254" s="2"/>
      <c r="E254" s="58"/>
      <c r="F254" s="59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3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</row>
    <row r="255" spans="1:65" ht="14.25" customHeight="1" x14ac:dyDescent="0.25">
      <c r="A255" s="2"/>
      <c r="B255" s="2"/>
      <c r="C255" s="2"/>
      <c r="D255" s="2"/>
      <c r="E255" s="58"/>
      <c r="F255" s="59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3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</row>
    <row r="256" spans="1:65" ht="14.25" customHeight="1" x14ac:dyDescent="0.25">
      <c r="A256" s="2"/>
      <c r="B256" s="2"/>
      <c r="C256" s="2"/>
      <c r="D256" s="2"/>
      <c r="E256" s="58"/>
      <c r="F256" s="59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3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</row>
    <row r="257" spans="1:65" ht="14.25" customHeight="1" x14ac:dyDescent="0.25">
      <c r="A257" s="2"/>
      <c r="B257" s="2"/>
      <c r="C257" s="2"/>
      <c r="D257" s="2"/>
      <c r="E257" s="58"/>
      <c r="F257" s="59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3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</row>
    <row r="258" spans="1:65" ht="14.25" customHeight="1" x14ac:dyDescent="0.25">
      <c r="A258" s="2"/>
      <c r="B258" s="2"/>
      <c r="C258" s="2"/>
      <c r="D258" s="2"/>
      <c r="E258" s="58"/>
      <c r="F258" s="59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3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</row>
    <row r="259" spans="1:65" ht="14.25" customHeight="1" x14ac:dyDescent="0.25">
      <c r="A259" s="2"/>
      <c r="B259" s="2"/>
      <c r="C259" s="2"/>
      <c r="D259" s="2"/>
      <c r="E259" s="58"/>
      <c r="F259" s="59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3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</row>
    <row r="260" spans="1:65" ht="14.25" customHeight="1" x14ac:dyDescent="0.25">
      <c r="A260" s="2"/>
      <c r="B260" s="2"/>
      <c r="C260" s="2"/>
      <c r="D260" s="2"/>
      <c r="E260" s="58"/>
      <c r="F260" s="59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3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</row>
    <row r="261" spans="1:65" ht="14.25" customHeight="1" x14ac:dyDescent="0.25">
      <c r="A261" s="2"/>
      <c r="B261" s="2"/>
      <c r="C261" s="2"/>
      <c r="D261" s="2"/>
      <c r="E261" s="58"/>
      <c r="F261" s="59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3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</row>
    <row r="262" spans="1:65" ht="14.25" customHeight="1" x14ac:dyDescent="0.25">
      <c r="A262" s="2"/>
      <c r="B262" s="2"/>
      <c r="C262" s="2"/>
      <c r="D262" s="2"/>
      <c r="E262" s="58"/>
      <c r="F262" s="59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3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</row>
    <row r="263" spans="1:65" ht="14.25" customHeight="1" x14ac:dyDescent="0.25">
      <c r="A263" s="2"/>
      <c r="B263" s="2"/>
      <c r="C263" s="2"/>
      <c r="D263" s="2"/>
      <c r="E263" s="58"/>
      <c r="F263" s="59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3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</row>
    <row r="264" spans="1:65" ht="14.25" customHeight="1" x14ac:dyDescent="0.25">
      <c r="A264" s="2"/>
      <c r="B264" s="2"/>
      <c r="C264" s="2"/>
      <c r="D264" s="2"/>
      <c r="E264" s="58"/>
      <c r="F264" s="59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3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</row>
    <row r="265" spans="1:65" ht="14.25" customHeight="1" x14ac:dyDescent="0.25">
      <c r="A265" s="2"/>
      <c r="B265" s="2"/>
      <c r="C265" s="2"/>
      <c r="D265" s="2"/>
      <c r="E265" s="58"/>
      <c r="F265" s="59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3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</row>
    <row r="266" spans="1:65" ht="14.25" customHeight="1" x14ac:dyDescent="0.25">
      <c r="A266" s="2"/>
      <c r="B266" s="2"/>
      <c r="C266" s="2"/>
      <c r="D266" s="2"/>
      <c r="E266" s="58"/>
      <c r="F266" s="59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3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</row>
    <row r="267" spans="1:65" ht="14.25" customHeight="1" x14ac:dyDescent="0.25">
      <c r="A267" s="2"/>
      <c r="B267" s="2"/>
      <c r="C267" s="2"/>
      <c r="D267" s="2"/>
      <c r="E267" s="58"/>
      <c r="F267" s="59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3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</row>
    <row r="268" spans="1:65" ht="14.25" customHeight="1" x14ac:dyDescent="0.25">
      <c r="A268" s="2"/>
      <c r="B268" s="2"/>
      <c r="C268" s="2"/>
      <c r="D268" s="2"/>
      <c r="E268" s="58"/>
      <c r="F268" s="59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3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</row>
    <row r="269" spans="1:65" ht="14.25" customHeight="1" x14ac:dyDescent="0.25">
      <c r="A269" s="2"/>
      <c r="B269" s="2"/>
      <c r="C269" s="2"/>
      <c r="D269" s="2"/>
      <c r="E269" s="58"/>
      <c r="F269" s="59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3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</row>
    <row r="270" spans="1:65" ht="14.25" customHeight="1" x14ac:dyDescent="0.25">
      <c r="A270" s="2"/>
      <c r="B270" s="2"/>
      <c r="C270" s="2"/>
      <c r="D270" s="2"/>
      <c r="E270" s="58"/>
      <c r="F270" s="59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3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</row>
    <row r="271" spans="1:65" ht="14.25" customHeight="1" x14ac:dyDescent="0.25">
      <c r="A271" s="2"/>
      <c r="B271" s="2"/>
      <c r="C271" s="2"/>
      <c r="D271" s="2"/>
      <c r="E271" s="58"/>
      <c r="F271" s="59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3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</row>
    <row r="272" spans="1:65" ht="14.25" customHeight="1" x14ac:dyDescent="0.25">
      <c r="A272" s="2"/>
      <c r="B272" s="2"/>
      <c r="C272" s="2"/>
      <c r="D272" s="2"/>
      <c r="E272" s="58"/>
      <c r="F272" s="59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3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</row>
    <row r="273" spans="1:65" ht="14.25" customHeight="1" x14ac:dyDescent="0.25">
      <c r="A273" s="2"/>
      <c r="B273" s="2"/>
      <c r="C273" s="2"/>
      <c r="D273" s="2"/>
      <c r="E273" s="58"/>
      <c r="F273" s="59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3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</row>
    <row r="274" spans="1:65" ht="14.25" customHeight="1" x14ac:dyDescent="0.25">
      <c r="A274" s="2"/>
      <c r="B274" s="2"/>
      <c r="C274" s="2"/>
      <c r="D274" s="2"/>
      <c r="E274" s="58"/>
      <c r="F274" s="59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3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</row>
    <row r="275" spans="1:65" ht="14.25" customHeight="1" x14ac:dyDescent="0.25">
      <c r="A275" s="2"/>
      <c r="B275" s="2"/>
      <c r="C275" s="2"/>
      <c r="D275" s="2"/>
      <c r="E275" s="58"/>
      <c r="F275" s="59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3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</row>
    <row r="276" spans="1:65" ht="14.25" customHeight="1" x14ac:dyDescent="0.25">
      <c r="A276" s="2"/>
      <c r="B276" s="2"/>
      <c r="C276" s="2"/>
      <c r="D276" s="2"/>
      <c r="E276" s="58"/>
      <c r="F276" s="59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3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</row>
    <row r="277" spans="1:65" ht="14.25" customHeight="1" x14ac:dyDescent="0.25">
      <c r="A277" s="2"/>
      <c r="B277" s="2"/>
      <c r="C277" s="2"/>
      <c r="D277" s="2"/>
      <c r="E277" s="58"/>
      <c r="F277" s="59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3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</row>
    <row r="278" spans="1:65" ht="14.25" customHeight="1" x14ac:dyDescent="0.25">
      <c r="A278" s="2"/>
      <c r="B278" s="2"/>
      <c r="C278" s="2"/>
      <c r="D278" s="2"/>
      <c r="E278" s="58"/>
      <c r="F278" s="59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3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</row>
    <row r="279" spans="1:65" ht="14.25" customHeight="1" x14ac:dyDescent="0.25">
      <c r="A279" s="2"/>
      <c r="B279" s="2"/>
      <c r="C279" s="2"/>
      <c r="D279" s="2"/>
      <c r="E279" s="58"/>
      <c r="F279" s="59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3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</row>
    <row r="280" spans="1:65" ht="14.25" customHeight="1" x14ac:dyDescent="0.25">
      <c r="A280" s="2"/>
      <c r="B280" s="2"/>
      <c r="C280" s="2"/>
      <c r="D280" s="2"/>
      <c r="E280" s="58"/>
      <c r="F280" s="59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3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</row>
    <row r="281" spans="1:65" ht="14.25" customHeight="1" x14ac:dyDescent="0.25">
      <c r="A281" s="2"/>
      <c r="B281" s="2"/>
      <c r="C281" s="2"/>
      <c r="D281" s="2"/>
      <c r="E281" s="58"/>
      <c r="F281" s="59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3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</row>
    <row r="282" spans="1:65" ht="14.25" customHeight="1" x14ac:dyDescent="0.25">
      <c r="A282" s="2"/>
      <c r="B282" s="2"/>
      <c r="C282" s="2"/>
      <c r="D282" s="2"/>
      <c r="E282" s="58"/>
      <c r="F282" s="59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3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</row>
    <row r="283" spans="1:65" ht="14.25" customHeight="1" x14ac:dyDescent="0.25">
      <c r="A283" s="2"/>
      <c r="B283" s="2"/>
      <c r="C283" s="2"/>
      <c r="D283" s="2"/>
      <c r="E283" s="58"/>
      <c r="F283" s="59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3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</row>
    <row r="284" spans="1:65" ht="14.25" customHeight="1" x14ac:dyDescent="0.25">
      <c r="A284" s="2"/>
      <c r="B284" s="2"/>
      <c r="C284" s="2"/>
      <c r="D284" s="2"/>
      <c r="E284" s="58"/>
      <c r="F284" s="59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3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</row>
    <row r="285" spans="1:65" ht="14.25" customHeight="1" x14ac:dyDescent="0.25">
      <c r="A285" s="2"/>
      <c r="B285" s="2"/>
      <c r="C285" s="2"/>
      <c r="D285" s="2"/>
      <c r="E285" s="58"/>
      <c r="F285" s="59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3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</row>
    <row r="286" spans="1:65" ht="14.25" customHeight="1" x14ac:dyDescent="0.25">
      <c r="A286" s="2"/>
      <c r="B286" s="2"/>
      <c r="C286" s="2"/>
      <c r="D286" s="2"/>
      <c r="E286" s="58"/>
      <c r="F286" s="59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3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</row>
    <row r="287" spans="1:65" ht="14.25" customHeight="1" x14ac:dyDescent="0.25">
      <c r="A287" s="2"/>
      <c r="B287" s="2"/>
      <c r="C287" s="2"/>
      <c r="D287" s="2"/>
      <c r="E287" s="58"/>
      <c r="F287" s="59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3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</row>
    <row r="288" spans="1:65" ht="14.25" customHeight="1" x14ac:dyDescent="0.25">
      <c r="A288" s="2"/>
      <c r="B288" s="2"/>
      <c r="C288" s="2"/>
      <c r="D288" s="2"/>
      <c r="E288" s="58"/>
      <c r="F288" s="59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3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</row>
    <row r="289" spans="1:65" ht="14.25" customHeight="1" x14ac:dyDescent="0.25">
      <c r="A289" s="2"/>
      <c r="B289" s="2"/>
      <c r="C289" s="2"/>
      <c r="D289" s="2"/>
      <c r="E289" s="58"/>
      <c r="F289" s="59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3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</row>
    <row r="290" spans="1:65" ht="14.25" customHeight="1" x14ac:dyDescent="0.25">
      <c r="A290" s="2"/>
      <c r="B290" s="2"/>
      <c r="C290" s="2"/>
      <c r="D290" s="2"/>
      <c r="E290" s="58"/>
      <c r="F290" s="59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3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</row>
    <row r="291" spans="1:65" ht="14.25" customHeight="1" x14ac:dyDescent="0.25">
      <c r="A291" s="2"/>
      <c r="B291" s="2"/>
      <c r="C291" s="2"/>
      <c r="D291" s="2"/>
      <c r="E291" s="58"/>
      <c r="F291" s="59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3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</row>
    <row r="292" spans="1:65" ht="14.25" customHeight="1" x14ac:dyDescent="0.25">
      <c r="A292" s="2"/>
      <c r="B292" s="2"/>
      <c r="C292" s="2"/>
      <c r="D292" s="2"/>
      <c r="E292" s="58"/>
      <c r="F292" s="59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3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</row>
    <row r="293" spans="1:65" ht="14.25" customHeight="1" x14ac:dyDescent="0.25">
      <c r="A293" s="2"/>
      <c r="B293" s="2"/>
      <c r="C293" s="2"/>
      <c r="D293" s="2"/>
      <c r="E293" s="58"/>
      <c r="F293" s="59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3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</row>
    <row r="294" spans="1:65" ht="14.25" customHeight="1" x14ac:dyDescent="0.25">
      <c r="A294" s="2"/>
      <c r="B294" s="2"/>
      <c r="C294" s="2"/>
      <c r="D294" s="2"/>
      <c r="E294" s="58"/>
      <c r="F294" s="59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3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</row>
    <row r="295" spans="1:65" ht="14.25" customHeight="1" x14ac:dyDescent="0.25">
      <c r="A295" s="2"/>
      <c r="B295" s="2"/>
      <c r="C295" s="2"/>
      <c r="D295" s="2"/>
      <c r="E295" s="58"/>
      <c r="F295" s="59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3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</row>
    <row r="296" spans="1:65" ht="14.25" customHeight="1" x14ac:dyDescent="0.25">
      <c r="A296" s="2"/>
      <c r="B296" s="2"/>
      <c r="C296" s="2"/>
      <c r="D296" s="2"/>
      <c r="E296" s="58"/>
      <c r="F296" s="59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3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</row>
    <row r="297" spans="1:65" ht="14.25" customHeight="1" x14ac:dyDescent="0.25">
      <c r="A297" s="2"/>
      <c r="B297" s="2"/>
      <c r="C297" s="2"/>
      <c r="D297" s="2"/>
      <c r="E297" s="58"/>
      <c r="F297" s="59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3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</row>
    <row r="298" spans="1:65" ht="14.25" customHeight="1" x14ac:dyDescent="0.25">
      <c r="A298" s="2"/>
      <c r="B298" s="2"/>
      <c r="C298" s="2"/>
      <c r="D298" s="2"/>
      <c r="E298" s="58"/>
      <c r="F298" s="59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3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</row>
    <row r="299" spans="1:65" ht="14.25" customHeight="1" x14ac:dyDescent="0.25">
      <c r="A299" s="2"/>
      <c r="B299" s="2"/>
      <c r="C299" s="2"/>
      <c r="D299" s="2"/>
      <c r="E299" s="58"/>
      <c r="F299" s="59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3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</row>
    <row r="300" spans="1:65" ht="14.25" customHeight="1" x14ac:dyDescent="0.25">
      <c r="A300" s="2"/>
      <c r="B300" s="2"/>
      <c r="C300" s="2"/>
      <c r="D300" s="2"/>
      <c r="E300" s="58"/>
      <c r="F300" s="59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3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</row>
    <row r="301" spans="1:65" ht="14.25" customHeight="1" x14ac:dyDescent="0.25">
      <c r="A301" s="2"/>
      <c r="B301" s="2"/>
      <c r="C301" s="2"/>
      <c r="D301" s="2"/>
      <c r="E301" s="58"/>
      <c r="F301" s="59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3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</row>
    <row r="302" spans="1:65" ht="14.25" customHeight="1" x14ac:dyDescent="0.25">
      <c r="A302" s="2"/>
      <c r="B302" s="2"/>
      <c r="C302" s="2"/>
      <c r="D302" s="2"/>
      <c r="E302" s="58"/>
      <c r="F302" s="59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3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</row>
    <row r="303" spans="1:65" ht="14.25" customHeight="1" x14ac:dyDescent="0.25">
      <c r="A303" s="2"/>
      <c r="B303" s="2"/>
      <c r="C303" s="2"/>
      <c r="D303" s="2"/>
      <c r="E303" s="58"/>
      <c r="F303" s="59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3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</row>
    <row r="304" spans="1:65" ht="14.25" customHeight="1" x14ac:dyDescent="0.25">
      <c r="A304" s="2"/>
      <c r="B304" s="2"/>
      <c r="C304" s="2"/>
      <c r="D304" s="2"/>
      <c r="E304" s="58"/>
      <c r="F304" s="59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3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</row>
    <row r="305" spans="1:65" ht="14.25" customHeight="1" x14ac:dyDescent="0.25">
      <c r="A305" s="2"/>
      <c r="B305" s="2"/>
      <c r="C305" s="2"/>
      <c r="D305" s="2"/>
      <c r="E305" s="58"/>
      <c r="F305" s="59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3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</row>
    <row r="306" spans="1:65" ht="14.25" customHeight="1" x14ac:dyDescent="0.25">
      <c r="A306" s="2"/>
      <c r="B306" s="2"/>
      <c r="C306" s="2"/>
      <c r="D306" s="2"/>
      <c r="E306" s="58"/>
      <c r="F306" s="59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3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</row>
    <row r="307" spans="1:65" ht="14.25" customHeight="1" x14ac:dyDescent="0.25">
      <c r="A307" s="2"/>
      <c r="B307" s="2"/>
      <c r="C307" s="2"/>
      <c r="D307" s="2"/>
      <c r="E307" s="58"/>
      <c r="F307" s="59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3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</row>
    <row r="308" spans="1:65" ht="14.25" customHeight="1" x14ac:dyDescent="0.25">
      <c r="A308" s="2"/>
      <c r="B308" s="2"/>
      <c r="C308" s="2"/>
      <c r="D308" s="2"/>
      <c r="E308" s="58"/>
      <c r="F308" s="59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3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</row>
    <row r="309" spans="1:65" ht="14.25" customHeight="1" x14ac:dyDescent="0.25">
      <c r="A309" s="2"/>
      <c r="B309" s="2"/>
      <c r="C309" s="2"/>
      <c r="D309" s="2"/>
      <c r="E309" s="58"/>
      <c r="F309" s="59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3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</row>
    <row r="310" spans="1:65" ht="14.25" customHeight="1" x14ac:dyDescent="0.25">
      <c r="A310" s="2"/>
      <c r="B310" s="2"/>
      <c r="C310" s="2"/>
      <c r="D310" s="2"/>
      <c r="E310" s="58"/>
      <c r="F310" s="59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3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</row>
    <row r="311" spans="1:65" ht="14.25" customHeight="1" x14ac:dyDescent="0.25">
      <c r="A311" s="2"/>
      <c r="B311" s="2"/>
      <c r="C311" s="2"/>
      <c r="D311" s="2"/>
      <c r="E311" s="58"/>
      <c r="F311" s="59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3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</row>
    <row r="312" spans="1:65" ht="14.25" customHeight="1" x14ac:dyDescent="0.25">
      <c r="A312" s="2"/>
      <c r="B312" s="2"/>
      <c r="C312" s="2"/>
      <c r="D312" s="2"/>
      <c r="E312" s="58"/>
      <c r="F312" s="59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3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</row>
    <row r="313" spans="1:65" ht="14.25" customHeight="1" x14ac:dyDescent="0.25">
      <c r="A313" s="2"/>
      <c r="B313" s="2"/>
      <c r="C313" s="2"/>
      <c r="D313" s="2"/>
      <c r="E313" s="58"/>
      <c r="F313" s="59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3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</row>
    <row r="314" spans="1:65" ht="14.25" customHeight="1" x14ac:dyDescent="0.25">
      <c r="A314" s="2"/>
      <c r="B314" s="2"/>
      <c r="C314" s="2"/>
      <c r="D314" s="2"/>
      <c r="E314" s="58"/>
      <c r="F314" s="59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3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</row>
    <row r="315" spans="1:65" ht="14.25" customHeight="1" x14ac:dyDescent="0.25">
      <c r="A315" s="2"/>
      <c r="B315" s="2"/>
      <c r="C315" s="2"/>
      <c r="D315" s="2"/>
      <c r="E315" s="58"/>
      <c r="F315" s="59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3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</row>
    <row r="316" spans="1:65" ht="14.25" customHeight="1" x14ac:dyDescent="0.25">
      <c r="A316" s="2"/>
      <c r="B316" s="2"/>
      <c r="C316" s="2"/>
      <c r="D316" s="2"/>
      <c r="E316" s="58"/>
      <c r="F316" s="59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3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</row>
    <row r="317" spans="1:65" ht="14.25" customHeight="1" x14ac:dyDescent="0.25">
      <c r="A317" s="2"/>
      <c r="B317" s="2"/>
      <c r="C317" s="2"/>
      <c r="D317" s="2"/>
      <c r="E317" s="58"/>
      <c r="F317" s="59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3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</row>
    <row r="318" spans="1:65" ht="14.25" customHeight="1" x14ac:dyDescent="0.25">
      <c r="A318" s="2"/>
      <c r="B318" s="2"/>
      <c r="C318" s="2"/>
      <c r="D318" s="2"/>
      <c r="E318" s="58"/>
      <c r="F318" s="59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3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</row>
    <row r="319" spans="1:65" ht="14.25" customHeight="1" x14ac:dyDescent="0.25">
      <c r="A319" s="2"/>
      <c r="B319" s="2"/>
      <c r="C319" s="2"/>
      <c r="D319" s="2"/>
      <c r="E319" s="58"/>
      <c r="F319" s="59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3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</row>
    <row r="320" spans="1:65" ht="14.25" customHeight="1" x14ac:dyDescent="0.25">
      <c r="A320" s="2"/>
      <c r="B320" s="2"/>
      <c r="C320" s="2"/>
      <c r="D320" s="2"/>
      <c r="E320" s="58"/>
      <c r="F320" s="59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3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</row>
    <row r="321" spans="1:65" ht="14.25" customHeight="1" x14ac:dyDescent="0.25">
      <c r="A321" s="2"/>
      <c r="B321" s="2"/>
      <c r="C321" s="2"/>
      <c r="D321" s="2"/>
      <c r="E321" s="58"/>
      <c r="F321" s="59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3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</row>
    <row r="322" spans="1:65" ht="14.25" customHeight="1" x14ac:dyDescent="0.25">
      <c r="A322" s="2"/>
      <c r="B322" s="2"/>
      <c r="C322" s="2"/>
      <c r="D322" s="2"/>
      <c r="E322" s="58"/>
      <c r="F322" s="59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3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</row>
    <row r="323" spans="1:65" ht="14.25" customHeight="1" x14ac:dyDescent="0.25">
      <c r="A323" s="2"/>
      <c r="B323" s="2"/>
      <c r="C323" s="2"/>
      <c r="D323" s="2"/>
      <c r="E323" s="58"/>
      <c r="F323" s="59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3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</row>
    <row r="324" spans="1:65" ht="14.25" customHeight="1" x14ac:dyDescent="0.25">
      <c r="A324" s="2"/>
      <c r="B324" s="2"/>
      <c r="C324" s="2"/>
      <c r="D324" s="2"/>
      <c r="E324" s="58"/>
      <c r="F324" s="59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3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</row>
    <row r="325" spans="1:65" ht="14.25" customHeight="1" x14ac:dyDescent="0.25">
      <c r="A325" s="2"/>
      <c r="B325" s="2"/>
      <c r="C325" s="2"/>
      <c r="D325" s="2"/>
      <c r="E325" s="58"/>
      <c r="F325" s="59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3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</row>
    <row r="326" spans="1:65" ht="14.25" customHeight="1" x14ac:dyDescent="0.25">
      <c r="A326" s="2"/>
      <c r="B326" s="2"/>
      <c r="C326" s="2"/>
      <c r="D326" s="2"/>
      <c r="E326" s="58"/>
      <c r="F326" s="59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3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</row>
    <row r="327" spans="1:65" ht="14.25" customHeight="1" x14ac:dyDescent="0.25">
      <c r="A327" s="2"/>
      <c r="B327" s="2"/>
      <c r="C327" s="2"/>
      <c r="D327" s="2"/>
      <c r="E327" s="58"/>
      <c r="F327" s="59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3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</row>
    <row r="328" spans="1:65" ht="14.25" customHeight="1" x14ac:dyDescent="0.25">
      <c r="A328" s="2"/>
      <c r="B328" s="2"/>
      <c r="C328" s="2"/>
      <c r="D328" s="2"/>
      <c r="E328" s="58"/>
      <c r="F328" s="59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3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</row>
    <row r="329" spans="1:65" ht="14.25" customHeight="1" x14ac:dyDescent="0.25">
      <c r="A329" s="2"/>
      <c r="B329" s="2"/>
      <c r="C329" s="2"/>
      <c r="D329" s="2"/>
      <c r="E329" s="58"/>
      <c r="F329" s="59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3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</row>
    <row r="330" spans="1:65" ht="14.25" customHeight="1" x14ac:dyDescent="0.25">
      <c r="A330" s="2"/>
      <c r="B330" s="2"/>
      <c r="C330" s="2"/>
      <c r="D330" s="2"/>
      <c r="E330" s="58"/>
      <c r="F330" s="59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3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</row>
    <row r="331" spans="1:65" ht="14.25" customHeight="1" x14ac:dyDescent="0.25">
      <c r="A331" s="2"/>
      <c r="B331" s="2"/>
      <c r="C331" s="2"/>
      <c r="D331" s="2"/>
      <c r="E331" s="58"/>
      <c r="F331" s="59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3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</row>
    <row r="332" spans="1:65" ht="14.25" customHeight="1" x14ac:dyDescent="0.25">
      <c r="A332" s="2"/>
      <c r="B332" s="2"/>
      <c r="C332" s="2"/>
      <c r="D332" s="2"/>
      <c r="E332" s="58"/>
      <c r="F332" s="59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3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</row>
    <row r="333" spans="1:65" ht="14.25" customHeight="1" x14ac:dyDescent="0.25">
      <c r="A333" s="2"/>
      <c r="B333" s="2"/>
      <c r="C333" s="2"/>
      <c r="D333" s="2"/>
      <c r="E333" s="58"/>
      <c r="F333" s="59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3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</row>
    <row r="334" spans="1:65" ht="14.25" customHeight="1" x14ac:dyDescent="0.25">
      <c r="A334" s="2"/>
      <c r="B334" s="2"/>
      <c r="C334" s="2"/>
      <c r="D334" s="2"/>
      <c r="E334" s="58"/>
      <c r="F334" s="59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3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</row>
    <row r="335" spans="1:65" ht="14.25" customHeight="1" x14ac:dyDescent="0.25">
      <c r="A335" s="2"/>
      <c r="B335" s="2"/>
      <c r="C335" s="2"/>
      <c r="D335" s="2"/>
      <c r="E335" s="58"/>
      <c r="F335" s="59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3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</row>
    <row r="336" spans="1:65" ht="14.25" customHeight="1" x14ac:dyDescent="0.25">
      <c r="A336" s="2"/>
      <c r="B336" s="2"/>
      <c r="C336" s="2"/>
      <c r="D336" s="2"/>
      <c r="E336" s="58"/>
      <c r="F336" s="59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3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</row>
    <row r="337" spans="1:65" ht="14.25" customHeight="1" x14ac:dyDescent="0.25">
      <c r="A337" s="2"/>
      <c r="B337" s="2"/>
      <c r="C337" s="2"/>
      <c r="D337" s="2"/>
      <c r="E337" s="58"/>
      <c r="F337" s="59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3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</row>
    <row r="338" spans="1:65" ht="14.25" customHeight="1" x14ac:dyDescent="0.25">
      <c r="A338" s="2"/>
      <c r="B338" s="2"/>
      <c r="C338" s="2"/>
      <c r="D338" s="2"/>
      <c r="E338" s="58"/>
      <c r="F338" s="59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3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</row>
    <row r="339" spans="1:65" ht="14.25" customHeight="1" x14ac:dyDescent="0.25">
      <c r="A339" s="2"/>
      <c r="B339" s="2"/>
      <c r="C339" s="2"/>
      <c r="D339" s="2"/>
      <c r="E339" s="58"/>
      <c r="F339" s="59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3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</row>
    <row r="340" spans="1:65" ht="14.25" customHeight="1" x14ac:dyDescent="0.25">
      <c r="A340" s="2"/>
      <c r="B340" s="2"/>
      <c r="C340" s="2"/>
      <c r="D340" s="2"/>
      <c r="E340" s="58"/>
      <c r="F340" s="59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3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</row>
    <row r="341" spans="1:65" ht="14.25" customHeight="1" x14ac:dyDescent="0.25">
      <c r="A341" s="2"/>
      <c r="B341" s="2"/>
      <c r="C341" s="2"/>
      <c r="D341" s="2"/>
      <c r="E341" s="58"/>
      <c r="F341" s="59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3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</row>
    <row r="342" spans="1:65" ht="14.25" customHeight="1" x14ac:dyDescent="0.25">
      <c r="A342" s="2"/>
      <c r="B342" s="2"/>
      <c r="C342" s="2"/>
      <c r="D342" s="2"/>
      <c r="E342" s="58"/>
      <c r="F342" s="59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3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</row>
    <row r="343" spans="1:65" ht="14.25" customHeight="1" x14ac:dyDescent="0.25">
      <c r="A343" s="2"/>
      <c r="B343" s="2"/>
      <c r="C343" s="2"/>
      <c r="D343" s="2"/>
      <c r="E343" s="58"/>
      <c r="F343" s="59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3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</row>
    <row r="344" spans="1:65" ht="14.25" customHeight="1" x14ac:dyDescent="0.25">
      <c r="A344" s="2"/>
      <c r="B344" s="2"/>
      <c r="C344" s="2"/>
      <c r="D344" s="2"/>
      <c r="E344" s="58"/>
      <c r="F344" s="59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3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</row>
    <row r="345" spans="1:65" ht="14.25" customHeight="1" x14ac:dyDescent="0.25">
      <c r="A345" s="2"/>
      <c r="B345" s="2"/>
      <c r="C345" s="2"/>
      <c r="D345" s="2"/>
      <c r="E345" s="58"/>
      <c r="F345" s="59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3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</row>
    <row r="346" spans="1:65" ht="14.25" customHeight="1" x14ac:dyDescent="0.25">
      <c r="A346" s="2"/>
      <c r="B346" s="2"/>
      <c r="C346" s="2"/>
      <c r="D346" s="2"/>
      <c r="E346" s="58"/>
      <c r="F346" s="59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3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</row>
    <row r="347" spans="1:65" ht="14.25" customHeight="1" x14ac:dyDescent="0.25">
      <c r="A347" s="2"/>
      <c r="B347" s="2"/>
      <c r="C347" s="2"/>
      <c r="D347" s="2"/>
      <c r="E347" s="58"/>
      <c r="F347" s="59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3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</row>
    <row r="348" spans="1:65" ht="14.25" customHeight="1" x14ac:dyDescent="0.25">
      <c r="A348" s="2"/>
      <c r="B348" s="2"/>
      <c r="C348" s="2"/>
      <c r="D348" s="2"/>
      <c r="E348" s="58"/>
      <c r="F348" s="59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3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</row>
    <row r="349" spans="1:65" ht="14.25" customHeight="1" x14ac:dyDescent="0.25">
      <c r="A349" s="2"/>
      <c r="B349" s="2"/>
      <c r="C349" s="2"/>
      <c r="D349" s="2"/>
      <c r="E349" s="58"/>
      <c r="F349" s="59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3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</row>
    <row r="350" spans="1:65" ht="14.25" customHeight="1" x14ac:dyDescent="0.25">
      <c r="A350" s="2"/>
      <c r="B350" s="2"/>
      <c r="C350" s="2"/>
      <c r="D350" s="2"/>
      <c r="E350" s="58"/>
      <c r="F350" s="59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3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</row>
    <row r="351" spans="1:65" ht="14.25" customHeight="1" x14ac:dyDescent="0.25">
      <c r="A351" s="2"/>
      <c r="B351" s="2"/>
      <c r="C351" s="2"/>
      <c r="D351" s="2"/>
      <c r="E351" s="58"/>
      <c r="F351" s="59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3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</row>
    <row r="352" spans="1:65" ht="14.25" customHeight="1" x14ac:dyDescent="0.25">
      <c r="A352" s="2"/>
      <c r="B352" s="2"/>
      <c r="C352" s="2"/>
      <c r="D352" s="2"/>
      <c r="E352" s="58"/>
      <c r="F352" s="59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3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</row>
    <row r="353" spans="1:65" ht="14.25" customHeight="1" x14ac:dyDescent="0.25">
      <c r="A353" s="2"/>
      <c r="B353" s="2"/>
      <c r="C353" s="2"/>
      <c r="D353" s="2"/>
      <c r="E353" s="58"/>
      <c r="F353" s="59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3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</row>
    <row r="354" spans="1:65" ht="14.25" customHeight="1" x14ac:dyDescent="0.25">
      <c r="A354" s="2"/>
      <c r="B354" s="2"/>
      <c r="C354" s="2"/>
      <c r="D354" s="2"/>
      <c r="E354" s="58"/>
      <c r="F354" s="59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3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</row>
    <row r="355" spans="1:65" ht="14.25" customHeight="1" x14ac:dyDescent="0.25">
      <c r="A355" s="2"/>
      <c r="B355" s="2"/>
      <c r="C355" s="2"/>
      <c r="D355" s="2"/>
      <c r="E355" s="58"/>
      <c r="F355" s="59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3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</row>
    <row r="356" spans="1:65" ht="14.25" customHeight="1" x14ac:dyDescent="0.25">
      <c r="A356" s="2"/>
      <c r="B356" s="2"/>
      <c r="C356" s="2"/>
      <c r="D356" s="2"/>
      <c r="E356" s="58"/>
      <c r="F356" s="59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3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</row>
    <row r="357" spans="1:65" ht="14.25" customHeight="1" x14ac:dyDescent="0.25">
      <c r="A357" s="2"/>
      <c r="B357" s="2"/>
      <c r="C357" s="2"/>
      <c r="D357" s="2"/>
      <c r="E357" s="58"/>
      <c r="F357" s="59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3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</row>
    <row r="358" spans="1:65" ht="14.25" customHeight="1" x14ac:dyDescent="0.25">
      <c r="A358" s="2"/>
      <c r="B358" s="2"/>
      <c r="C358" s="2"/>
      <c r="D358" s="2"/>
      <c r="E358" s="58"/>
      <c r="F358" s="59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3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</row>
    <row r="359" spans="1:65" ht="14.25" customHeight="1" x14ac:dyDescent="0.25">
      <c r="A359" s="2"/>
      <c r="B359" s="2"/>
      <c r="C359" s="2"/>
      <c r="D359" s="2"/>
      <c r="E359" s="58"/>
      <c r="F359" s="59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3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</row>
    <row r="360" spans="1:65" ht="14.25" customHeight="1" x14ac:dyDescent="0.25">
      <c r="A360" s="2"/>
      <c r="B360" s="2"/>
      <c r="C360" s="2"/>
      <c r="D360" s="2"/>
      <c r="E360" s="58"/>
      <c r="F360" s="59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3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</row>
    <row r="361" spans="1:65" ht="14.25" customHeight="1" x14ac:dyDescent="0.25">
      <c r="A361" s="2"/>
      <c r="B361" s="2"/>
      <c r="C361" s="2"/>
      <c r="D361" s="2"/>
      <c r="E361" s="58"/>
      <c r="F361" s="59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3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</row>
    <row r="362" spans="1:65" ht="14.25" customHeight="1" x14ac:dyDescent="0.25">
      <c r="A362" s="2"/>
      <c r="B362" s="2"/>
      <c r="C362" s="2"/>
      <c r="D362" s="2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3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</row>
    <row r="363" spans="1:65" ht="14.25" customHeight="1" x14ac:dyDescent="0.25">
      <c r="A363" s="2"/>
      <c r="B363" s="2"/>
      <c r="C363" s="2"/>
      <c r="D363" s="2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3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</row>
    <row r="364" spans="1:65" ht="14.25" customHeight="1" x14ac:dyDescent="0.25">
      <c r="A364" s="2"/>
      <c r="B364" s="2"/>
      <c r="C364" s="2"/>
      <c r="D364" s="2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3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</row>
    <row r="365" spans="1:65" ht="14.25" customHeight="1" x14ac:dyDescent="0.25">
      <c r="A365" s="2"/>
      <c r="B365" s="2"/>
      <c r="C365" s="2"/>
      <c r="D365" s="2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3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</row>
    <row r="366" spans="1:65" ht="14.25" customHeight="1" x14ac:dyDescent="0.25">
      <c r="A366" s="2"/>
      <c r="B366" s="2"/>
      <c r="C366" s="2"/>
      <c r="D366" s="2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3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</row>
    <row r="367" spans="1:65" ht="14.25" customHeight="1" x14ac:dyDescent="0.25">
      <c r="A367" s="2"/>
      <c r="B367" s="2"/>
      <c r="C367" s="2"/>
      <c r="D367" s="2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3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</row>
    <row r="368" spans="1:65" ht="14.25" customHeight="1" x14ac:dyDescent="0.25">
      <c r="A368" s="2"/>
      <c r="B368" s="2"/>
      <c r="C368" s="2"/>
      <c r="D368" s="2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3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</row>
    <row r="369" spans="1:65" ht="14.25" customHeight="1" x14ac:dyDescent="0.25">
      <c r="A369" s="2"/>
      <c r="B369" s="2"/>
      <c r="C369" s="2"/>
      <c r="D369" s="2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3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</row>
    <row r="370" spans="1:65" ht="14.25" customHeight="1" x14ac:dyDescent="0.25">
      <c r="A370" s="2"/>
      <c r="B370" s="2"/>
      <c r="C370" s="2"/>
      <c r="D370" s="2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3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</row>
    <row r="371" spans="1:65" ht="14.25" customHeight="1" x14ac:dyDescent="0.25">
      <c r="A371" s="2"/>
      <c r="B371" s="2"/>
      <c r="C371" s="2"/>
      <c r="D371" s="2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3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</row>
    <row r="372" spans="1:65" ht="14.25" customHeight="1" x14ac:dyDescent="0.25">
      <c r="A372" s="2"/>
      <c r="B372" s="2"/>
      <c r="C372" s="2"/>
      <c r="D372" s="2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3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</row>
    <row r="373" spans="1:65" ht="14.25" customHeight="1" x14ac:dyDescent="0.25">
      <c r="A373" s="2"/>
      <c r="B373" s="2"/>
      <c r="C373" s="2"/>
      <c r="D373" s="2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3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</row>
    <row r="374" spans="1:65" ht="14.25" customHeight="1" x14ac:dyDescent="0.25">
      <c r="A374" s="2"/>
      <c r="B374" s="2"/>
      <c r="C374" s="2"/>
      <c r="D374" s="2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3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</row>
    <row r="375" spans="1:65" ht="14.25" customHeight="1" x14ac:dyDescent="0.25">
      <c r="A375" s="2"/>
      <c r="B375" s="2"/>
      <c r="C375" s="2"/>
      <c r="D375" s="2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3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</row>
    <row r="376" spans="1:65" ht="14.25" customHeight="1" x14ac:dyDescent="0.25">
      <c r="A376" s="2"/>
      <c r="B376" s="2"/>
      <c r="C376" s="2"/>
      <c r="D376" s="2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3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</row>
    <row r="377" spans="1:65" ht="14.25" customHeight="1" x14ac:dyDescent="0.25">
      <c r="A377" s="2"/>
      <c r="B377" s="2"/>
      <c r="C377" s="2"/>
      <c r="D377" s="2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3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</row>
    <row r="378" spans="1:65" ht="14.25" customHeight="1" x14ac:dyDescent="0.25">
      <c r="A378" s="2"/>
      <c r="B378" s="2"/>
      <c r="C378" s="2"/>
      <c r="D378" s="2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3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</row>
    <row r="379" spans="1:65" ht="14.25" customHeight="1" x14ac:dyDescent="0.25">
      <c r="A379" s="2"/>
      <c r="B379" s="2"/>
      <c r="C379" s="2"/>
      <c r="D379" s="2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3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</row>
    <row r="380" spans="1:65" ht="14.25" customHeight="1" x14ac:dyDescent="0.25">
      <c r="A380" s="2"/>
      <c r="B380" s="2"/>
      <c r="C380" s="2"/>
      <c r="D380" s="2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3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</row>
    <row r="381" spans="1:65" ht="14.25" customHeight="1" x14ac:dyDescent="0.25">
      <c r="A381" s="2"/>
      <c r="B381" s="2"/>
      <c r="C381" s="2"/>
      <c r="D381" s="2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3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</row>
    <row r="382" spans="1:65" ht="14.25" customHeight="1" x14ac:dyDescent="0.25">
      <c r="A382" s="2"/>
      <c r="B382" s="2"/>
      <c r="C382" s="2"/>
      <c r="D382" s="2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3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</row>
    <row r="383" spans="1:65" ht="14.25" customHeight="1" x14ac:dyDescent="0.25">
      <c r="A383" s="2"/>
      <c r="B383" s="2"/>
      <c r="C383" s="2"/>
      <c r="D383" s="2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3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</row>
    <row r="384" spans="1:65" ht="14.25" customHeight="1" x14ac:dyDescent="0.25">
      <c r="A384" s="2"/>
      <c r="B384" s="2"/>
      <c r="C384" s="2"/>
      <c r="D384" s="2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3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</row>
    <row r="385" spans="1:65" ht="14.25" customHeight="1" x14ac:dyDescent="0.25">
      <c r="A385" s="2"/>
      <c r="B385" s="2"/>
      <c r="C385" s="2"/>
      <c r="D385" s="2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3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</row>
    <row r="386" spans="1:65" ht="14.25" customHeight="1" x14ac:dyDescent="0.25">
      <c r="A386" s="2"/>
      <c r="B386" s="2"/>
      <c r="C386" s="2"/>
      <c r="D386" s="2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3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</row>
    <row r="387" spans="1:65" ht="14.25" customHeight="1" x14ac:dyDescent="0.25">
      <c r="A387" s="2"/>
      <c r="B387" s="2"/>
      <c r="C387" s="2"/>
      <c r="D387" s="2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3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</row>
    <row r="388" spans="1:65" ht="14.25" customHeight="1" x14ac:dyDescent="0.25">
      <c r="A388" s="2"/>
      <c r="B388" s="2"/>
      <c r="C388" s="2"/>
      <c r="D388" s="2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3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</row>
    <row r="389" spans="1:65" ht="14.25" customHeight="1" x14ac:dyDescent="0.25">
      <c r="A389" s="2"/>
      <c r="B389" s="2"/>
      <c r="C389" s="2"/>
      <c r="D389" s="2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3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</row>
    <row r="390" spans="1:65" ht="14.25" customHeight="1" x14ac:dyDescent="0.25">
      <c r="A390" s="2"/>
      <c r="B390" s="2"/>
      <c r="C390" s="2"/>
      <c r="D390" s="2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3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</row>
    <row r="391" spans="1:65" ht="14.25" customHeight="1" x14ac:dyDescent="0.25">
      <c r="A391" s="2"/>
      <c r="B391" s="2"/>
      <c r="C391" s="2"/>
      <c r="D391" s="2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3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</row>
    <row r="392" spans="1:65" ht="14.25" customHeight="1" x14ac:dyDescent="0.25">
      <c r="A392" s="2"/>
      <c r="B392" s="2"/>
      <c r="C392" s="2"/>
      <c r="D392" s="2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3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</row>
    <row r="393" spans="1:65" ht="14.25" customHeight="1" x14ac:dyDescent="0.25">
      <c r="A393" s="2"/>
      <c r="B393" s="2"/>
      <c r="C393" s="2"/>
      <c r="D393" s="2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3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</row>
    <row r="394" spans="1:65" ht="14.25" customHeight="1" x14ac:dyDescent="0.25">
      <c r="A394" s="2"/>
      <c r="B394" s="2"/>
      <c r="C394" s="2"/>
      <c r="D394" s="2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3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</row>
    <row r="395" spans="1:65" ht="14.25" customHeight="1" x14ac:dyDescent="0.25">
      <c r="A395" s="2"/>
      <c r="B395" s="2"/>
      <c r="C395" s="2"/>
      <c r="D395" s="2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3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</row>
    <row r="396" spans="1:65" ht="14.25" customHeight="1" x14ac:dyDescent="0.25">
      <c r="A396" s="2"/>
      <c r="B396" s="2"/>
      <c r="C396" s="2"/>
      <c r="D396" s="2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3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</row>
    <row r="397" spans="1:65" ht="14.25" customHeight="1" x14ac:dyDescent="0.25">
      <c r="A397" s="2"/>
      <c r="B397" s="2"/>
      <c r="C397" s="2"/>
      <c r="D397" s="2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3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</row>
    <row r="398" spans="1:65" ht="14.25" customHeight="1" x14ac:dyDescent="0.25">
      <c r="A398" s="2"/>
      <c r="B398" s="2"/>
      <c r="C398" s="2"/>
      <c r="D398" s="2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3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</row>
    <row r="399" spans="1:65" ht="14.25" customHeight="1" x14ac:dyDescent="0.25">
      <c r="A399" s="2"/>
      <c r="B399" s="2"/>
      <c r="C399" s="2"/>
      <c r="D399" s="2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3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</row>
    <row r="400" spans="1:65" ht="14.25" customHeight="1" x14ac:dyDescent="0.25">
      <c r="A400" s="2"/>
      <c r="B400" s="2"/>
      <c r="C400" s="2"/>
      <c r="D400" s="2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3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</row>
    <row r="401" spans="1:65" ht="14.25" customHeight="1" x14ac:dyDescent="0.25">
      <c r="A401" s="2"/>
      <c r="B401" s="2"/>
      <c r="C401" s="2"/>
      <c r="D401" s="2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3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</row>
    <row r="402" spans="1:65" ht="14.25" customHeight="1" x14ac:dyDescent="0.25">
      <c r="A402" s="2"/>
      <c r="B402" s="2"/>
      <c r="C402" s="2"/>
      <c r="D402" s="2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3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</row>
    <row r="403" spans="1:65" ht="14.25" customHeight="1" x14ac:dyDescent="0.25">
      <c r="A403" s="2"/>
      <c r="B403" s="2"/>
      <c r="C403" s="2"/>
      <c r="D403" s="2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3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</row>
    <row r="404" spans="1:65" ht="14.25" customHeight="1" x14ac:dyDescent="0.25">
      <c r="A404" s="2"/>
      <c r="B404" s="2"/>
      <c r="C404" s="2"/>
      <c r="D404" s="2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3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</row>
    <row r="405" spans="1:65" ht="14.25" customHeight="1" x14ac:dyDescent="0.25">
      <c r="A405" s="2"/>
      <c r="B405" s="2"/>
      <c r="C405" s="2"/>
      <c r="D405" s="2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3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</row>
    <row r="406" spans="1:65" ht="14.25" customHeight="1" x14ac:dyDescent="0.25">
      <c r="A406" s="2"/>
      <c r="B406" s="2"/>
      <c r="C406" s="2"/>
      <c r="D406" s="2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3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</row>
    <row r="407" spans="1:65" ht="14.25" customHeight="1" x14ac:dyDescent="0.25">
      <c r="A407" s="2"/>
      <c r="B407" s="2"/>
      <c r="C407" s="2"/>
      <c r="D407" s="2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3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</row>
    <row r="408" spans="1:65" ht="14.25" customHeight="1" x14ac:dyDescent="0.25">
      <c r="A408" s="2"/>
      <c r="B408" s="2"/>
      <c r="C408" s="2"/>
      <c r="D408" s="2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3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</row>
    <row r="409" spans="1:65" ht="14.25" customHeight="1" x14ac:dyDescent="0.25">
      <c r="A409" s="2"/>
      <c r="B409" s="2"/>
      <c r="C409" s="2"/>
      <c r="D409" s="2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3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</row>
    <row r="410" spans="1:65" ht="14.25" customHeight="1" x14ac:dyDescent="0.25">
      <c r="A410" s="2"/>
      <c r="B410" s="2"/>
      <c r="C410" s="2"/>
      <c r="D410" s="2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3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</row>
    <row r="411" spans="1:65" ht="14.25" customHeight="1" x14ac:dyDescent="0.25">
      <c r="A411" s="2"/>
      <c r="B411" s="2"/>
      <c r="C411" s="2"/>
      <c r="D411" s="2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3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</row>
    <row r="412" spans="1:65" ht="14.25" customHeight="1" x14ac:dyDescent="0.25">
      <c r="A412" s="2"/>
      <c r="B412" s="2"/>
      <c r="C412" s="2"/>
      <c r="D412" s="2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3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</row>
    <row r="413" spans="1:65" ht="14.25" customHeight="1" x14ac:dyDescent="0.25">
      <c r="A413" s="2"/>
      <c r="B413" s="2"/>
      <c r="C413" s="2"/>
      <c r="D413" s="2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3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</row>
    <row r="414" spans="1:65" ht="14.25" customHeight="1" x14ac:dyDescent="0.25">
      <c r="A414" s="2"/>
      <c r="B414" s="2"/>
      <c r="C414" s="2"/>
      <c r="D414" s="2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3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</row>
    <row r="415" spans="1:65" ht="14.25" customHeight="1" x14ac:dyDescent="0.25">
      <c r="A415" s="2"/>
      <c r="B415" s="2"/>
      <c r="C415" s="2"/>
      <c r="D415" s="2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3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</row>
    <row r="416" spans="1:65" ht="14.25" customHeight="1" x14ac:dyDescent="0.25">
      <c r="A416" s="2"/>
      <c r="B416" s="2"/>
      <c r="C416" s="2"/>
      <c r="D416" s="2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3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</row>
    <row r="417" spans="1:65" ht="14.25" customHeight="1" x14ac:dyDescent="0.25">
      <c r="A417" s="2"/>
      <c r="B417" s="2"/>
      <c r="C417" s="2"/>
      <c r="D417" s="2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3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</row>
    <row r="418" spans="1:65" ht="14.25" customHeight="1" x14ac:dyDescent="0.25">
      <c r="A418" s="2"/>
      <c r="B418" s="2"/>
      <c r="C418" s="2"/>
      <c r="D418" s="2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3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</row>
    <row r="419" spans="1:65" ht="14.25" customHeight="1" x14ac:dyDescent="0.25">
      <c r="A419" s="2"/>
      <c r="B419" s="2"/>
      <c r="C419" s="2"/>
      <c r="D419" s="2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3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</row>
    <row r="420" spans="1:65" ht="14.25" customHeight="1" x14ac:dyDescent="0.25">
      <c r="A420" s="2"/>
      <c r="B420" s="2"/>
      <c r="C420" s="2"/>
      <c r="D420" s="2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3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</row>
    <row r="421" spans="1:65" ht="14.25" customHeight="1" x14ac:dyDescent="0.25">
      <c r="A421" s="2"/>
      <c r="B421" s="2"/>
      <c r="C421" s="2"/>
      <c r="D421" s="2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3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</row>
    <row r="422" spans="1:65" ht="14.25" customHeight="1" x14ac:dyDescent="0.25">
      <c r="A422" s="2"/>
      <c r="B422" s="2"/>
      <c r="C422" s="2"/>
      <c r="D422" s="2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3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</row>
    <row r="423" spans="1:65" ht="14.25" customHeight="1" x14ac:dyDescent="0.25">
      <c r="A423" s="2"/>
      <c r="B423" s="2"/>
      <c r="C423" s="2"/>
      <c r="D423" s="2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3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</row>
    <row r="424" spans="1:65" ht="14.25" customHeight="1" x14ac:dyDescent="0.25">
      <c r="A424" s="2"/>
      <c r="B424" s="2"/>
      <c r="C424" s="2"/>
      <c r="D424" s="2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3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</row>
    <row r="425" spans="1:65" ht="14.25" customHeight="1" x14ac:dyDescent="0.25">
      <c r="A425" s="2"/>
      <c r="B425" s="2"/>
      <c r="C425" s="2"/>
      <c r="D425" s="2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3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</row>
    <row r="426" spans="1:65" ht="14.25" customHeight="1" x14ac:dyDescent="0.25">
      <c r="A426" s="2"/>
      <c r="B426" s="2"/>
      <c r="C426" s="2"/>
      <c r="D426" s="2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3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</row>
    <row r="427" spans="1:65" ht="14.25" customHeight="1" x14ac:dyDescent="0.25">
      <c r="A427" s="2"/>
      <c r="B427" s="2"/>
      <c r="C427" s="2"/>
      <c r="D427" s="2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3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</row>
    <row r="428" spans="1:65" ht="14.25" customHeight="1" x14ac:dyDescent="0.25">
      <c r="A428" s="2"/>
      <c r="B428" s="2"/>
      <c r="C428" s="2"/>
      <c r="D428" s="2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3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</row>
    <row r="429" spans="1:65" ht="14.25" customHeight="1" x14ac:dyDescent="0.25">
      <c r="A429" s="2"/>
      <c r="B429" s="2"/>
      <c r="C429" s="2"/>
      <c r="D429" s="2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3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</row>
    <row r="430" spans="1:65" ht="14.25" customHeight="1" x14ac:dyDescent="0.25">
      <c r="A430" s="2"/>
      <c r="B430" s="2"/>
      <c r="C430" s="2"/>
      <c r="D430" s="2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3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</row>
    <row r="431" spans="1:65" ht="14.25" customHeight="1" x14ac:dyDescent="0.25">
      <c r="A431" s="2"/>
      <c r="B431" s="2"/>
      <c r="C431" s="2"/>
      <c r="D431" s="2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3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</row>
    <row r="432" spans="1:65" ht="14.25" customHeight="1" x14ac:dyDescent="0.25">
      <c r="A432" s="2"/>
      <c r="B432" s="2"/>
      <c r="C432" s="2"/>
      <c r="D432" s="2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3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</row>
    <row r="433" spans="1:65" ht="14.25" customHeight="1" x14ac:dyDescent="0.25">
      <c r="A433" s="2"/>
      <c r="B433" s="2"/>
      <c r="C433" s="2"/>
      <c r="D433" s="2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3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</row>
    <row r="434" spans="1:65" ht="14.25" customHeight="1" x14ac:dyDescent="0.25">
      <c r="A434" s="2"/>
      <c r="B434" s="2"/>
      <c r="C434" s="2"/>
      <c r="D434" s="2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3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</row>
    <row r="435" spans="1:65" ht="14.25" customHeight="1" x14ac:dyDescent="0.25">
      <c r="A435" s="2"/>
      <c r="B435" s="2"/>
      <c r="C435" s="2"/>
      <c r="D435" s="2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3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</row>
    <row r="436" spans="1:65" ht="14.25" customHeight="1" x14ac:dyDescent="0.25">
      <c r="A436" s="2"/>
      <c r="B436" s="2"/>
      <c r="C436" s="2"/>
      <c r="D436" s="2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3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</row>
    <row r="437" spans="1:65" ht="14.25" customHeight="1" x14ac:dyDescent="0.25">
      <c r="A437" s="2"/>
      <c r="B437" s="2"/>
      <c r="C437" s="2"/>
      <c r="D437" s="2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3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</row>
    <row r="438" spans="1:65" ht="14.25" customHeight="1" x14ac:dyDescent="0.25">
      <c r="A438" s="2"/>
      <c r="B438" s="2"/>
      <c r="C438" s="2"/>
      <c r="D438" s="2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3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</row>
    <row r="439" spans="1:65" ht="14.25" customHeight="1" x14ac:dyDescent="0.25">
      <c r="A439" s="2"/>
      <c r="B439" s="2"/>
      <c r="C439" s="2"/>
      <c r="D439" s="2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3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</row>
    <row r="440" spans="1:65" ht="14.25" customHeight="1" x14ac:dyDescent="0.25">
      <c r="A440" s="2"/>
      <c r="B440" s="2"/>
      <c r="C440" s="2"/>
      <c r="D440" s="2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3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</row>
    <row r="441" spans="1:65" ht="14.25" customHeight="1" x14ac:dyDescent="0.25">
      <c r="A441" s="2"/>
      <c r="B441" s="2"/>
      <c r="C441" s="2"/>
      <c r="D441" s="2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3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</row>
    <row r="442" spans="1:65" ht="14.25" customHeight="1" x14ac:dyDescent="0.25">
      <c r="A442" s="2"/>
      <c r="B442" s="2"/>
      <c r="C442" s="2"/>
      <c r="D442" s="2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3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</row>
    <row r="443" spans="1:65" ht="14.25" customHeight="1" x14ac:dyDescent="0.25">
      <c r="A443" s="2"/>
      <c r="B443" s="2"/>
      <c r="C443" s="2"/>
      <c r="D443" s="2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3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</row>
    <row r="444" spans="1:65" ht="14.25" customHeight="1" x14ac:dyDescent="0.25">
      <c r="A444" s="2"/>
      <c r="B444" s="2"/>
      <c r="C444" s="2"/>
      <c r="D444" s="2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3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</row>
    <row r="445" spans="1:65" ht="14.25" customHeight="1" x14ac:dyDescent="0.25">
      <c r="A445" s="2"/>
      <c r="B445" s="2"/>
      <c r="C445" s="2"/>
      <c r="D445" s="2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3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</row>
    <row r="446" spans="1:65" ht="14.25" customHeight="1" x14ac:dyDescent="0.25">
      <c r="A446" s="2"/>
      <c r="B446" s="2"/>
      <c r="C446" s="2"/>
      <c r="D446" s="2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3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</row>
    <row r="447" spans="1:65" ht="14.25" customHeight="1" x14ac:dyDescent="0.25">
      <c r="A447" s="2"/>
      <c r="B447" s="2"/>
      <c r="C447" s="2"/>
      <c r="D447" s="2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3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</row>
    <row r="448" spans="1:65" ht="14.25" customHeight="1" x14ac:dyDescent="0.25">
      <c r="A448" s="2"/>
      <c r="B448" s="2"/>
      <c r="C448" s="2"/>
      <c r="D448" s="2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3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</row>
    <row r="449" spans="1:65" ht="14.25" customHeight="1" x14ac:dyDescent="0.25">
      <c r="A449" s="2"/>
      <c r="B449" s="2"/>
      <c r="C449" s="2"/>
      <c r="D449" s="2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3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</row>
    <row r="450" spans="1:65" ht="14.25" customHeight="1" x14ac:dyDescent="0.25">
      <c r="A450" s="2"/>
      <c r="B450" s="2"/>
      <c r="C450" s="2"/>
      <c r="D450" s="2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3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</row>
    <row r="451" spans="1:65" ht="14.25" customHeight="1" x14ac:dyDescent="0.25">
      <c r="A451" s="2"/>
      <c r="B451" s="2"/>
      <c r="C451" s="2"/>
      <c r="D451" s="2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3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</row>
    <row r="452" spans="1:65" ht="14.25" customHeight="1" x14ac:dyDescent="0.25">
      <c r="A452" s="2"/>
      <c r="B452" s="2"/>
      <c r="C452" s="2"/>
      <c r="D452" s="2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3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</row>
    <row r="453" spans="1:65" ht="14.25" customHeight="1" x14ac:dyDescent="0.25">
      <c r="A453" s="2"/>
      <c r="B453" s="2"/>
      <c r="C453" s="2"/>
      <c r="D453" s="2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3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</row>
    <row r="454" spans="1:65" ht="14.25" customHeight="1" x14ac:dyDescent="0.25">
      <c r="A454" s="2"/>
      <c r="B454" s="2"/>
      <c r="C454" s="2"/>
      <c r="D454" s="2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3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</row>
    <row r="455" spans="1:65" ht="14.25" customHeight="1" x14ac:dyDescent="0.25">
      <c r="A455" s="2"/>
      <c r="B455" s="2"/>
      <c r="C455" s="2"/>
      <c r="D455" s="2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3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</row>
    <row r="456" spans="1:65" ht="14.25" customHeight="1" x14ac:dyDescent="0.25">
      <c r="A456" s="2"/>
      <c r="B456" s="2"/>
      <c r="C456" s="2"/>
      <c r="D456" s="2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3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</row>
    <row r="457" spans="1:65" ht="14.25" customHeight="1" x14ac:dyDescent="0.25">
      <c r="A457" s="2"/>
      <c r="B457" s="2"/>
      <c r="C457" s="2"/>
      <c r="D457" s="2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3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</row>
    <row r="458" spans="1:65" ht="14.25" customHeight="1" x14ac:dyDescent="0.25">
      <c r="A458" s="2"/>
      <c r="B458" s="2"/>
      <c r="C458" s="2"/>
      <c r="D458" s="2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3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</row>
    <row r="459" spans="1:65" ht="14.25" customHeight="1" x14ac:dyDescent="0.25">
      <c r="A459" s="2"/>
      <c r="B459" s="2"/>
      <c r="C459" s="2"/>
      <c r="D459" s="2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3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</row>
    <row r="460" spans="1:65" ht="14.25" customHeight="1" x14ac:dyDescent="0.25">
      <c r="A460" s="2"/>
      <c r="B460" s="2"/>
      <c r="C460" s="2"/>
      <c r="D460" s="2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3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</row>
    <row r="461" spans="1:65" ht="14.25" customHeight="1" x14ac:dyDescent="0.25">
      <c r="A461" s="2"/>
      <c r="B461" s="2"/>
      <c r="C461" s="2"/>
      <c r="D461" s="2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3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</row>
    <row r="462" spans="1:65" ht="14.25" customHeight="1" x14ac:dyDescent="0.25">
      <c r="A462" s="2"/>
      <c r="B462" s="2"/>
      <c r="C462" s="2"/>
      <c r="D462" s="2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3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</row>
    <row r="463" spans="1:65" ht="14.25" customHeight="1" x14ac:dyDescent="0.25">
      <c r="A463" s="2"/>
      <c r="B463" s="2"/>
      <c r="C463" s="2"/>
      <c r="D463" s="2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3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</row>
    <row r="464" spans="1:65" ht="14.25" customHeight="1" x14ac:dyDescent="0.25">
      <c r="A464" s="2"/>
      <c r="B464" s="2"/>
      <c r="C464" s="2"/>
      <c r="D464" s="2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3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</row>
    <row r="465" spans="1:65" ht="14.25" customHeight="1" x14ac:dyDescent="0.25">
      <c r="A465" s="2"/>
      <c r="B465" s="2"/>
      <c r="C465" s="2"/>
      <c r="D465" s="2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3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</row>
    <row r="466" spans="1:65" ht="14.25" customHeight="1" x14ac:dyDescent="0.25">
      <c r="A466" s="2"/>
      <c r="B466" s="2"/>
      <c r="C466" s="2"/>
      <c r="D466" s="2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3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</row>
    <row r="467" spans="1:65" ht="14.25" customHeight="1" x14ac:dyDescent="0.25">
      <c r="A467" s="2"/>
      <c r="B467" s="2"/>
      <c r="C467" s="2"/>
      <c r="D467" s="2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3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</row>
    <row r="468" spans="1:65" ht="14.25" customHeight="1" x14ac:dyDescent="0.25">
      <c r="A468" s="2"/>
      <c r="B468" s="2"/>
      <c r="C468" s="2"/>
      <c r="D468" s="2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3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</row>
    <row r="469" spans="1:65" ht="14.25" customHeight="1" x14ac:dyDescent="0.25">
      <c r="A469" s="2"/>
      <c r="B469" s="2"/>
      <c r="C469" s="2"/>
      <c r="D469" s="2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3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</row>
    <row r="470" spans="1:65" ht="14.25" customHeight="1" x14ac:dyDescent="0.25">
      <c r="A470" s="2"/>
      <c r="B470" s="2"/>
      <c r="C470" s="2"/>
      <c r="D470" s="2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3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</row>
    <row r="471" spans="1:65" ht="14.25" customHeight="1" x14ac:dyDescent="0.25">
      <c r="A471" s="2"/>
      <c r="B471" s="2"/>
      <c r="C471" s="2"/>
      <c r="D471" s="2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3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</row>
    <row r="472" spans="1:65" ht="14.25" customHeight="1" x14ac:dyDescent="0.25">
      <c r="A472" s="2"/>
      <c r="B472" s="2"/>
      <c r="C472" s="2"/>
      <c r="D472" s="2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3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</row>
    <row r="473" spans="1:65" ht="14.25" customHeight="1" x14ac:dyDescent="0.25">
      <c r="A473" s="2"/>
      <c r="B473" s="2"/>
      <c r="C473" s="2"/>
      <c r="D473" s="2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3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</row>
    <row r="474" spans="1:65" ht="14.25" customHeight="1" x14ac:dyDescent="0.25">
      <c r="A474" s="2"/>
      <c r="B474" s="2"/>
      <c r="C474" s="2"/>
      <c r="D474" s="2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3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</row>
    <row r="475" spans="1:65" ht="14.25" customHeight="1" x14ac:dyDescent="0.25">
      <c r="A475" s="2"/>
      <c r="B475" s="2"/>
      <c r="C475" s="2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3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</row>
    <row r="476" spans="1:65" ht="14.25" customHeight="1" x14ac:dyDescent="0.25">
      <c r="A476" s="2"/>
      <c r="B476" s="2"/>
      <c r="C476" s="2"/>
      <c r="D476" s="2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3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</row>
    <row r="477" spans="1:65" ht="14.25" customHeight="1" x14ac:dyDescent="0.25">
      <c r="A477" s="2"/>
      <c r="B477" s="2"/>
      <c r="C477" s="2"/>
      <c r="D477" s="2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3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</row>
    <row r="478" spans="1:65" ht="14.25" customHeight="1" x14ac:dyDescent="0.25">
      <c r="A478" s="2"/>
      <c r="B478" s="2"/>
      <c r="C478" s="2"/>
      <c r="D478" s="2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3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</row>
    <row r="479" spans="1:65" ht="14.25" customHeight="1" x14ac:dyDescent="0.25">
      <c r="A479" s="2"/>
      <c r="B479" s="2"/>
      <c r="C479" s="2"/>
      <c r="D479" s="2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3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</row>
    <row r="480" spans="1:65" ht="14.25" customHeight="1" x14ac:dyDescent="0.25">
      <c r="A480" s="2"/>
      <c r="B480" s="2"/>
      <c r="C480" s="2"/>
      <c r="D480" s="2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3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</row>
    <row r="481" spans="1:65" ht="14.25" customHeight="1" x14ac:dyDescent="0.25">
      <c r="A481" s="2"/>
      <c r="B481" s="2"/>
      <c r="C481" s="2"/>
      <c r="D481" s="2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3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</row>
    <row r="482" spans="1:65" ht="14.25" customHeight="1" x14ac:dyDescent="0.25">
      <c r="A482" s="2"/>
      <c r="B482" s="2"/>
      <c r="C482" s="2"/>
      <c r="D482" s="2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3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</row>
    <row r="483" spans="1:65" ht="14.25" customHeight="1" x14ac:dyDescent="0.25">
      <c r="A483" s="2"/>
      <c r="B483" s="2"/>
      <c r="C483" s="2"/>
      <c r="D483" s="2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3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</row>
    <row r="484" spans="1:65" ht="14.25" customHeight="1" x14ac:dyDescent="0.25">
      <c r="A484" s="2"/>
      <c r="B484" s="2"/>
      <c r="C484" s="2"/>
      <c r="D484" s="2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3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</row>
    <row r="485" spans="1:65" ht="14.25" customHeight="1" x14ac:dyDescent="0.25">
      <c r="A485" s="2"/>
      <c r="B485" s="2"/>
      <c r="C485" s="2"/>
      <c r="D485" s="2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3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</row>
    <row r="486" spans="1:65" ht="14.25" customHeight="1" x14ac:dyDescent="0.25">
      <c r="A486" s="2"/>
      <c r="B486" s="2"/>
      <c r="C486" s="2"/>
      <c r="D486" s="2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3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</row>
    <row r="487" spans="1:65" ht="14.25" customHeight="1" x14ac:dyDescent="0.25">
      <c r="A487" s="2"/>
      <c r="B487" s="2"/>
      <c r="C487" s="2"/>
      <c r="D487" s="2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3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</row>
    <row r="488" spans="1:65" ht="14.25" customHeight="1" x14ac:dyDescent="0.25">
      <c r="A488" s="2"/>
      <c r="B488" s="2"/>
      <c r="C488" s="2"/>
      <c r="D488" s="2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3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</row>
    <row r="489" spans="1:65" ht="14.25" customHeight="1" x14ac:dyDescent="0.25">
      <c r="A489" s="2"/>
      <c r="B489" s="2"/>
      <c r="C489" s="2"/>
      <c r="D489" s="2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3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</row>
    <row r="490" spans="1:65" ht="14.25" customHeight="1" x14ac:dyDescent="0.25">
      <c r="A490" s="2"/>
      <c r="B490" s="2"/>
      <c r="C490" s="2"/>
      <c r="D490" s="2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3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</row>
    <row r="491" spans="1:65" ht="14.25" customHeight="1" x14ac:dyDescent="0.25">
      <c r="A491" s="2"/>
      <c r="B491" s="2"/>
      <c r="C491" s="2"/>
      <c r="D491" s="2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3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</row>
    <row r="492" spans="1:65" ht="14.25" customHeight="1" x14ac:dyDescent="0.25">
      <c r="A492" s="2"/>
      <c r="B492" s="2"/>
      <c r="C492" s="2"/>
      <c r="D492" s="2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3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</row>
    <row r="493" spans="1:65" ht="14.25" customHeight="1" x14ac:dyDescent="0.25">
      <c r="A493" s="2"/>
      <c r="B493" s="2"/>
      <c r="C493" s="2"/>
      <c r="D493" s="2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3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</row>
    <row r="494" spans="1:65" ht="14.25" customHeight="1" x14ac:dyDescent="0.25">
      <c r="A494" s="2"/>
      <c r="B494" s="2"/>
      <c r="C494" s="2"/>
      <c r="D494" s="2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3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</row>
    <row r="495" spans="1:65" ht="14.25" customHeight="1" x14ac:dyDescent="0.25">
      <c r="A495" s="2"/>
      <c r="B495" s="2"/>
      <c r="C495" s="2"/>
      <c r="D495" s="2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3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</row>
    <row r="496" spans="1:65" ht="14.25" customHeight="1" x14ac:dyDescent="0.25">
      <c r="A496" s="2"/>
      <c r="B496" s="2"/>
      <c r="C496" s="2"/>
      <c r="D496" s="2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3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</row>
    <row r="497" spans="1:65" ht="14.25" customHeight="1" x14ac:dyDescent="0.25">
      <c r="A497" s="2"/>
      <c r="B497" s="2"/>
      <c r="C497" s="2"/>
      <c r="D497" s="2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3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</row>
    <row r="498" spans="1:65" ht="14.25" customHeight="1" x14ac:dyDescent="0.25">
      <c r="A498" s="2"/>
      <c r="B498" s="2"/>
      <c r="C498" s="2"/>
      <c r="D498" s="2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3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</row>
    <row r="499" spans="1:65" ht="14.25" customHeight="1" x14ac:dyDescent="0.25">
      <c r="A499" s="2"/>
      <c r="B499" s="2"/>
      <c r="C499" s="2"/>
      <c r="D499" s="2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3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</row>
    <row r="500" spans="1:65" ht="14.25" customHeight="1" x14ac:dyDescent="0.25">
      <c r="A500" s="2"/>
      <c r="B500" s="2"/>
      <c r="C500" s="2"/>
      <c r="D500" s="2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3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</row>
    <row r="501" spans="1:65" ht="14.25" customHeight="1" x14ac:dyDescent="0.25">
      <c r="A501" s="2"/>
      <c r="B501" s="2"/>
      <c r="C501" s="2"/>
      <c r="D501" s="2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3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</row>
    <row r="502" spans="1:65" ht="14.25" customHeight="1" x14ac:dyDescent="0.25">
      <c r="A502" s="2"/>
      <c r="B502" s="2"/>
      <c r="C502" s="2"/>
      <c r="D502" s="2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3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</row>
    <row r="503" spans="1:65" ht="14.25" customHeight="1" x14ac:dyDescent="0.25">
      <c r="A503" s="2"/>
      <c r="B503" s="2"/>
      <c r="C503" s="2"/>
      <c r="D503" s="2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3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</row>
    <row r="504" spans="1:65" ht="14.25" customHeight="1" x14ac:dyDescent="0.25">
      <c r="A504" s="2"/>
      <c r="B504" s="2"/>
      <c r="C504" s="2"/>
      <c r="D504" s="2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3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</row>
    <row r="505" spans="1:65" ht="14.25" customHeight="1" x14ac:dyDescent="0.25">
      <c r="A505" s="2"/>
      <c r="B505" s="2"/>
      <c r="C505" s="2"/>
      <c r="D505" s="2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3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</row>
    <row r="506" spans="1:65" ht="14.25" customHeight="1" x14ac:dyDescent="0.25">
      <c r="A506" s="2"/>
      <c r="B506" s="2"/>
      <c r="C506" s="2"/>
      <c r="D506" s="2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3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</row>
    <row r="507" spans="1:65" ht="14.25" customHeight="1" x14ac:dyDescent="0.25">
      <c r="A507" s="2"/>
      <c r="B507" s="2"/>
      <c r="C507" s="2"/>
      <c r="D507" s="2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3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</row>
    <row r="508" spans="1:65" ht="14.25" customHeight="1" x14ac:dyDescent="0.25">
      <c r="A508" s="2"/>
      <c r="B508" s="2"/>
      <c r="C508" s="2"/>
      <c r="D508" s="2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3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</row>
    <row r="509" spans="1:65" ht="14.25" customHeight="1" x14ac:dyDescent="0.25">
      <c r="A509" s="2"/>
      <c r="B509" s="2"/>
      <c r="C509" s="2"/>
      <c r="D509" s="2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3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</row>
    <row r="510" spans="1:65" ht="14.25" customHeight="1" x14ac:dyDescent="0.25">
      <c r="A510" s="2"/>
      <c r="B510" s="2"/>
      <c r="C510" s="2"/>
      <c r="D510" s="2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3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</row>
    <row r="511" spans="1:65" ht="14.25" customHeight="1" x14ac:dyDescent="0.25">
      <c r="A511" s="2"/>
      <c r="B511" s="2"/>
      <c r="C511" s="2"/>
      <c r="D511" s="2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3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</row>
    <row r="512" spans="1:65" ht="14.25" customHeight="1" x14ac:dyDescent="0.25">
      <c r="A512" s="2"/>
      <c r="B512" s="2"/>
      <c r="C512" s="2"/>
      <c r="D512" s="2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3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</row>
    <row r="513" spans="1:65" ht="14.25" customHeight="1" x14ac:dyDescent="0.25">
      <c r="A513" s="2"/>
      <c r="B513" s="2"/>
      <c r="C513" s="2"/>
      <c r="D513" s="2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3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</row>
    <row r="514" spans="1:65" ht="14.25" customHeight="1" x14ac:dyDescent="0.25">
      <c r="A514" s="2"/>
      <c r="B514" s="2"/>
      <c r="C514" s="2"/>
      <c r="D514" s="2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3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</row>
    <row r="515" spans="1:65" ht="14.25" customHeight="1" x14ac:dyDescent="0.25">
      <c r="A515" s="2"/>
      <c r="B515" s="2"/>
      <c r="C515" s="2"/>
      <c r="D515" s="2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3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</row>
    <row r="516" spans="1:65" ht="14.25" customHeight="1" x14ac:dyDescent="0.25">
      <c r="A516" s="2"/>
      <c r="B516" s="2"/>
      <c r="C516" s="2"/>
      <c r="D516" s="2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3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</row>
    <row r="517" spans="1:65" ht="14.25" customHeight="1" x14ac:dyDescent="0.25">
      <c r="A517" s="2"/>
      <c r="B517" s="2"/>
      <c r="C517" s="2"/>
      <c r="D517" s="2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3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</row>
    <row r="518" spans="1:65" ht="14.25" customHeight="1" x14ac:dyDescent="0.25">
      <c r="A518" s="2"/>
      <c r="B518" s="2"/>
      <c r="C518" s="2"/>
      <c r="D518" s="2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3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</row>
    <row r="519" spans="1:65" ht="14.25" customHeight="1" x14ac:dyDescent="0.25">
      <c r="A519" s="2"/>
      <c r="B519" s="2"/>
      <c r="C519" s="2"/>
      <c r="D519" s="2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3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</row>
    <row r="520" spans="1:65" ht="14.25" customHeight="1" x14ac:dyDescent="0.25">
      <c r="A520" s="2"/>
      <c r="B520" s="2"/>
      <c r="C520" s="2"/>
      <c r="D520" s="2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3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</row>
    <row r="521" spans="1:65" ht="14.25" customHeight="1" x14ac:dyDescent="0.25">
      <c r="A521" s="2"/>
      <c r="B521" s="2"/>
      <c r="C521" s="2"/>
      <c r="D521" s="2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3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</row>
    <row r="522" spans="1:65" ht="14.25" customHeight="1" x14ac:dyDescent="0.25">
      <c r="A522" s="2"/>
      <c r="B522" s="2"/>
      <c r="C522" s="2"/>
      <c r="D522" s="2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3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</row>
    <row r="523" spans="1:65" ht="14.25" customHeight="1" x14ac:dyDescent="0.25">
      <c r="A523" s="2"/>
      <c r="B523" s="2"/>
      <c r="C523" s="2"/>
      <c r="D523" s="2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3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</row>
    <row r="524" spans="1:65" ht="14.25" customHeight="1" x14ac:dyDescent="0.25">
      <c r="A524" s="2"/>
      <c r="B524" s="2"/>
      <c r="C524" s="2"/>
      <c r="D524" s="2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3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</row>
    <row r="525" spans="1:65" ht="14.25" customHeight="1" x14ac:dyDescent="0.25">
      <c r="A525" s="2"/>
      <c r="B525" s="2"/>
      <c r="C525" s="2"/>
      <c r="D525" s="2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3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</row>
    <row r="526" spans="1:65" ht="14.25" customHeight="1" x14ac:dyDescent="0.25">
      <c r="A526" s="2"/>
      <c r="B526" s="2"/>
      <c r="C526" s="2"/>
      <c r="D526" s="2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3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</row>
    <row r="527" spans="1:65" ht="14.25" customHeight="1" x14ac:dyDescent="0.25">
      <c r="A527" s="2"/>
      <c r="B527" s="2"/>
      <c r="C527" s="2"/>
      <c r="D527" s="2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3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</row>
    <row r="528" spans="1:65" ht="14.25" customHeight="1" x14ac:dyDescent="0.25">
      <c r="A528" s="2"/>
      <c r="B528" s="2"/>
      <c r="C528" s="2"/>
      <c r="D528" s="2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3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</row>
    <row r="529" spans="1:65" ht="14.25" customHeight="1" x14ac:dyDescent="0.25">
      <c r="A529" s="2"/>
      <c r="B529" s="2"/>
      <c r="C529" s="2"/>
      <c r="D529" s="2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3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</row>
    <row r="530" spans="1:65" ht="14.25" customHeight="1" x14ac:dyDescent="0.25">
      <c r="A530" s="2"/>
      <c r="B530" s="2"/>
      <c r="C530" s="2"/>
      <c r="D530" s="2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3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</row>
    <row r="531" spans="1:65" ht="14.25" customHeight="1" x14ac:dyDescent="0.25">
      <c r="A531" s="2"/>
      <c r="B531" s="2"/>
      <c r="C531" s="2"/>
      <c r="D531" s="2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3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</row>
    <row r="532" spans="1:65" ht="14.25" customHeight="1" x14ac:dyDescent="0.25">
      <c r="A532" s="2"/>
      <c r="B532" s="2"/>
      <c r="C532" s="2"/>
      <c r="D532" s="2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3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</row>
    <row r="533" spans="1:65" ht="14.25" customHeight="1" x14ac:dyDescent="0.25">
      <c r="A533" s="2"/>
      <c r="B533" s="2"/>
      <c r="C533" s="2"/>
      <c r="D533" s="2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3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</row>
    <row r="534" spans="1:65" ht="14.25" customHeight="1" x14ac:dyDescent="0.25">
      <c r="A534" s="2"/>
      <c r="B534" s="2"/>
      <c r="C534" s="2"/>
      <c r="D534" s="2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3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</row>
    <row r="535" spans="1:65" ht="14.25" customHeight="1" x14ac:dyDescent="0.25">
      <c r="A535" s="2"/>
      <c r="B535" s="2"/>
      <c r="C535" s="2"/>
      <c r="D535" s="2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3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</row>
    <row r="536" spans="1:65" ht="14.25" customHeight="1" x14ac:dyDescent="0.25">
      <c r="A536" s="2"/>
      <c r="B536" s="2"/>
      <c r="C536" s="2"/>
      <c r="D536" s="2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3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</row>
    <row r="537" spans="1:65" ht="14.25" customHeight="1" x14ac:dyDescent="0.25">
      <c r="A537" s="2"/>
      <c r="B537" s="2"/>
      <c r="C537" s="2"/>
      <c r="D537" s="2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3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</row>
    <row r="538" spans="1:65" ht="14.25" customHeight="1" x14ac:dyDescent="0.25">
      <c r="A538" s="2"/>
      <c r="B538" s="2"/>
      <c r="C538" s="2"/>
      <c r="D538" s="2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3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</row>
    <row r="539" spans="1:65" ht="14.25" customHeight="1" x14ac:dyDescent="0.25">
      <c r="A539" s="2"/>
      <c r="B539" s="2"/>
      <c r="C539" s="2"/>
      <c r="D539" s="2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3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</row>
    <row r="540" spans="1:65" ht="14.25" customHeight="1" x14ac:dyDescent="0.25">
      <c r="A540" s="2"/>
      <c r="B540" s="2"/>
      <c r="C540" s="2"/>
      <c r="D540" s="2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3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</row>
    <row r="541" spans="1:65" ht="14.25" customHeight="1" x14ac:dyDescent="0.25">
      <c r="A541" s="2"/>
      <c r="B541" s="2"/>
      <c r="C541" s="2"/>
      <c r="D541" s="2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3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</row>
    <row r="542" spans="1:65" ht="14.25" customHeight="1" x14ac:dyDescent="0.25">
      <c r="A542" s="2"/>
      <c r="B542" s="2"/>
      <c r="C542" s="2"/>
      <c r="D542" s="2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3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</row>
    <row r="543" spans="1:65" ht="14.25" customHeight="1" x14ac:dyDescent="0.25">
      <c r="A543" s="2"/>
      <c r="B543" s="2"/>
      <c r="C543" s="2"/>
      <c r="D543" s="2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3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</row>
    <row r="544" spans="1:65" ht="14.25" customHeight="1" x14ac:dyDescent="0.25">
      <c r="A544" s="2"/>
      <c r="B544" s="2"/>
      <c r="C544" s="2"/>
      <c r="D544" s="2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3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</row>
    <row r="545" spans="1:65" ht="14.25" customHeight="1" x14ac:dyDescent="0.25">
      <c r="A545" s="2"/>
      <c r="B545" s="2"/>
      <c r="C545" s="2"/>
      <c r="D545" s="2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3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</row>
    <row r="546" spans="1:65" ht="14.25" customHeight="1" x14ac:dyDescent="0.25">
      <c r="A546" s="2"/>
      <c r="B546" s="2"/>
      <c r="C546" s="2"/>
      <c r="D546" s="2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3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</row>
    <row r="547" spans="1:65" ht="14.25" customHeight="1" x14ac:dyDescent="0.25">
      <c r="A547" s="2"/>
      <c r="B547" s="2"/>
      <c r="C547" s="2"/>
      <c r="D547" s="2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3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</row>
    <row r="548" spans="1:65" ht="14.25" customHeight="1" x14ac:dyDescent="0.25">
      <c r="A548" s="2"/>
      <c r="B548" s="2"/>
      <c r="C548" s="2"/>
      <c r="D548" s="2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3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</row>
    <row r="549" spans="1:65" ht="14.25" customHeight="1" x14ac:dyDescent="0.25">
      <c r="A549" s="2"/>
      <c r="B549" s="2"/>
      <c r="C549" s="2"/>
      <c r="D549" s="2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3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</row>
    <row r="550" spans="1:65" ht="14.25" customHeight="1" x14ac:dyDescent="0.25">
      <c r="A550" s="2"/>
      <c r="B550" s="2"/>
      <c r="C550" s="2"/>
      <c r="D550" s="2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3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</row>
    <row r="551" spans="1:65" ht="14.25" customHeight="1" x14ac:dyDescent="0.25">
      <c r="A551" s="2"/>
      <c r="B551" s="2"/>
      <c r="C551" s="2"/>
      <c r="D551" s="2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3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</row>
    <row r="552" spans="1:65" ht="14.25" customHeight="1" x14ac:dyDescent="0.25">
      <c r="A552" s="2"/>
      <c r="B552" s="2"/>
      <c r="C552" s="2"/>
      <c r="D552" s="2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3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</row>
    <row r="553" spans="1:65" ht="14.25" customHeight="1" x14ac:dyDescent="0.25">
      <c r="A553" s="2"/>
      <c r="B553" s="2"/>
      <c r="C553" s="2"/>
      <c r="D553" s="2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3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</row>
    <row r="554" spans="1:65" ht="14.25" customHeight="1" x14ac:dyDescent="0.25">
      <c r="A554" s="2"/>
      <c r="B554" s="2"/>
      <c r="C554" s="2"/>
      <c r="D554" s="2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3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</row>
    <row r="555" spans="1:65" ht="14.25" customHeight="1" x14ac:dyDescent="0.25">
      <c r="A555" s="2"/>
      <c r="B555" s="2"/>
      <c r="C555" s="2"/>
      <c r="D555" s="2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3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</row>
    <row r="556" spans="1:65" ht="14.25" customHeight="1" x14ac:dyDescent="0.25">
      <c r="A556" s="2"/>
      <c r="B556" s="2"/>
      <c r="C556" s="2"/>
      <c r="D556" s="2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3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</row>
    <row r="557" spans="1:65" ht="14.25" customHeight="1" x14ac:dyDescent="0.25">
      <c r="A557" s="2"/>
      <c r="B557" s="2"/>
      <c r="C557" s="2"/>
      <c r="D557" s="2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3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</row>
    <row r="558" spans="1:65" ht="14.25" customHeight="1" x14ac:dyDescent="0.25">
      <c r="A558" s="2"/>
      <c r="B558" s="2"/>
      <c r="C558" s="2"/>
      <c r="D558" s="2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3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</row>
    <row r="559" spans="1:65" ht="14.25" customHeight="1" x14ac:dyDescent="0.25">
      <c r="A559" s="2"/>
      <c r="B559" s="2"/>
      <c r="C559" s="2"/>
      <c r="D559" s="2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3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</row>
    <row r="560" spans="1:65" ht="14.25" customHeight="1" x14ac:dyDescent="0.25">
      <c r="A560" s="2"/>
      <c r="B560" s="2"/>
      <c r="C560" s="2"/>
      <c r="D560" s="2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3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</row>
    <row r="561" spans="1:65" ht="14.25" customHeight="1" x14ac:dyDescent="0.25">
      <c r="A561" s="2"/>
      <c r="B561" s="2"/>
      <c r="C561" s="2"/>
      <c r="D561" s="2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3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</row>
    <row r="562" spans="1:65" ht="14.25" customHeight="1" x14ac:dyDescent="0.25">
      <c r="A562" s="2"/>
      <c r="B562" s="2"/>
      <c r="C562" s="2"/>
      <c r="D562" s="2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3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</row>
    <row r="563" spans="1:65" ht="14.25" customHeight="1" x14ac:dyDescent="0.25">
      <c r="A563" s="2"/>
      <c r="B563" s="2"/>
      <c r="C563" s="2"/>
      <c r="D563" s="2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3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</row>
    <row r="564" spans="1:65" ht="14.25" customHeight="1" x14ac:dyDescent="0.25">
      <c r="A564" s="2"/>
      <c r="B564" s="2"/>
      <c r="C564" s="2"/>
      <c r="D564" s="2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3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</row>
    <row r="565" spans="1:65" ht="14.25" customHeight="1" x14ac:dyDescent="0.25">
      <c r="A565" s="2"/>
      <c r="B565" s="2"/>
      <c r="C565" s="2"/>
      <c r="D565" s="2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3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</row>
    <row r="566" spans="1:65" ht="14.25" customHeight="1" x14ac:dyDescent="0.25">
      <c r="A566" s="2"/>
      <c r="B566" s="2"/>
      <c r="C566" s="2"/>
      <c r="D566" s="2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3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</row>
    <row r="567" spans="1:65" ht="14.25" customHeight="1" x14ac:dyDescent="0.25">
      <c r="A567" s="2"/>
      <c r="B567" s="2"/>
      <c r="C567" s="2"/>
      <c r="D567" s="2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3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</row>
    <row r="568" spans="1:65" ht="14.25" customHeight="1" x14ac:dyDescent="0.25">
      <c r="A568" s="2"/>
      <c r="B568" s="2"/>
      <c r="C568" s="2"/>
      <c r="D568" s="2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3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</row>
    <row r="569" spans="1:65" ht="14.25" customHeight="1" x14ac:dyDescent="0.25">
      <c r="A569" s="2"/>
      <c r="B569" s="2"/>
      <c r="C569" s="2"/>
      <c r="D569" s="2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3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</row>
    <row r="570" spans="1:65" ht="14.25" customHeight="1" x14ac:dyDescent="0.25">
      <c r="A570" s="2"/>
      <c r="B570" s="2"/>
      <c r="C570" s="2"/>
      <c r="D570" s="2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3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</row>
    <row r="571" spans="1:65" ht="14.25" customHeight="1" x14ac:dyDescent="0.25">
      <c r="A571" s="2"/>
      <c r="B571" s="2"/>
      <c r="C571" s="2"/>
      <c r="D571" s="2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3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</row>
    <row r="572" spans="1:65" ht="14.25" customHeight="1" x14ac:dyDescent="0.25">
      <c r="A572" s="2"/>
      <c r="B572" s="2"/>
      <c r="C572" s="2"/>
      <c r="D572" s="2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3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</row>
    <row r="573" spans="1:65" ht="14.25" customHeight="1" x14ac:dyDescent="0.25">
      <c r="A573" s="2"/>
      <c r="B573" s="2"/>
      <c r="C573" s="2"/>
      <c r="D573" s="2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3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</row>
    <row r="574" spans="1:65" ht="14.25" customHeight="1" x14ac:dyDescent="0.25">
      <c r="A574" s="2"/>
      <c r="B574" s="2"/>
      <c r="C574" s="2"/>
      <c r="D574" s="2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3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</row>
    <row r="575" spans="1:65" ht="14.25" customHeight="1" x14ac:dyDescent="0.25">
      <c r="A575" s="2"/>
      <c r="B575" s="2"/>
      <c r="C575" s="2"/>
      <c r="D575" s="2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3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</row>
    <row r="576" spans="1:65" ht="14.25" customHeight="1" x14ac:dyDescent="0.25">
      <c r="A576" s="2"/>
      <c r="B576" s="2"/>
      <c r="C576" s="2"/>
      <c r="D576" s="2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3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</row>
    <row r="577" spans="1:65" ht="14.25" customHeight="1" x14ac:dyDescent="0.25">
      <c r="A577" s="2"/>
      <c r="B577" s="2"/>
      <c r="C577" s="2"/>
      <c r="D577" s="2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3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</row>
    <row r="578" spans="1:65" ht="14.25" customHeight="1" x14ac:dyDescent="0.25">
      <c r="A578" s="2"/>
      <c r="B578" s="2"/>
      <c r="C578" s="2"/>
      <c r="D578" s="2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3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</row>
    <row r="579" spans="1:65" ht="14.25" customHeight="1" x14ac:dyDescent="0.25">
      <c r="A579" s="2"/>
      <c r="B579" s="2"/>
      <c r="C579" s="2"/>
      <c r="D579" s="2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3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</row>
    <row r="580" spans="1:65" ht="14.25" customHeight="1" x14ac:dyDescent="0.25">
      <c r="A580" s="2"/>
      <c r="B580" s="2"/>
      <c r="C580" s="2"/>
      <c r="D580" s="2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3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</row>
    <row r="581" spans="1:65" ht="14.25" customHeight="1" x14ac:dyDescent="0.25">
      <c r="A581" s="2"/>
      <c r="B581" s="2"/>
      <c r="C581" s="2"/>
      <c r="D581" s="2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3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</row>
    <row r="582" spans="1:65" ht="14.25" customHeight="1" x14ac:dyDescent="0.25">
      <c r="A582" s="2"/>
      <c r="B582" s="2"/>
      <c r="C582" s="2"/>
      <c r="D582" s="2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3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</row>
    <row r="583" spans="1:65" ht="14.25" customHeight="1" x14ac:dyDescent="0.25">
      <c r="A583" s="2"/>
      <c r="B583" s="2"/>
      <c r="C583" s="2"/>
      <c r="D583" s="2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3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</row>
    <row r="584" spans="1:65" ht="14.25" customHeight="1" x14ac:dyDescent="0.25">
      <c r="A584" s="2"/>
      <c r="B584" s="2"/>
      <c r="C584" s="2"/>
      <c r="D584" s="2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3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</row>
    <row r="585" spans="1:65" ht="14.25" customHeight="1" x14ac:dyDescent="0.25">
      <c r="A585" s="2"/>
      <c r="B585" s="2"/>
      <c r="C585" s="2"/>
      <c r="D585" s="2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3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</row>
    <row r="586" spans="1:65" ht="14.25" customHeight="1" x14ac:dyDescent="0.25">
      <c r="A586" s="2"/>
      <c r="B586" s="2"/>
      <c r="C586" s="2"/>
      <c r="D586" s="2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3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</row>
    <row r="587" spans="1:65" ht="14.25" customHeight="1" x14ac:dyDescent="0.25">
      <c r="A587" s="2"/>
      <c r="B587" s="2"/>
      <c r="C587" s="2"/>
      <c r="D587" s="2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3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</row>
    <row r="588" spans="1:65" ht="14.25" customHeight="1" x14ac:dyDescent="0.25">
      <c r="A588" s="2"/>
      <c r="B588" s="2"/>
      <c r="C588" s="2"/>
      <c r="D588" s="2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3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</row>
    <row r="589" spans="1:65" ht="14.25" customHeight="1" x14ac:dyDescent="0.25">
      <c r="A589" s="2"/>
      <c r="B589" s="2"/>
      <c r="C589" s="2"/>
      <c r="D589" s="2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3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</row>
    <row r="590" spans="1:65" ht="14.25" customHeight="1" x14ac:dyDescent="0.25">
      <c r="A590" s="2"/>
      <c r="B590" s="2"/>
      <c r="C590" s="2"/>
      <c r="D590" s="2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3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</row>
    <row r="591" spans="1:65" ht="14.25" customHeight="1" x14ac:dyDescent="0.25">
      <c r="A591" s="2"/>
      <c r="B591" s="2"/>
      <c r="C591" s="2"/>
      <c r="D591" s="2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3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</row>
    <row r="592" spans="1:65" ht="14.25" customHeight="1" x14ac:dyDescent="0.25">
      <c r="A592" s="2"/>
      <c r="B592" s="2"/>
      <c r="C592" s="2"/>
      <c r="D592" s="2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3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</row>
    <row r="593" spans="1:65" ht="14.25" customHeight="1" x14ac:dyDescent="0.25">
      <c r="A593" s="2"/>
      <c r="B593" s="2"/>
      <c r="C593" s="2"/>
      <c r="D593" s="2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3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</row>
    <row r="594" spans="1:65" ht="14.25" customHeight="1" x14ac:dyDescent="0.25">
      <c r="A594" s="2"/>
      <c r="B594" s="2"/>
      <c r="C594" s="2"/>
      <c r="D594" s="2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3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</row>
    <row r="595" spans="1:65" ht="14.25" customHeight="1" x14ac:dyDescent="0.25">
      <c r="A595" s="2"/>
      <c r="B595" s="2"/>
      <c r="C595" s="2"/>
      <c r="D595" s="2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3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</row>
    <row r="596" spans="1:65" ht="14.25" customHeight="1" x14ac:dyDescent="0.25">
      <c r="A596" s="2"/>
      <c r="B596" s="2"/>
      <c r="C596" s="2"/>
      <c r="D596" s="2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3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</row>
    <row r="597" spans="1:65" ht="14.25" customHeight="1" x14ac:dyDescent="0.25">
      <c r="A597" s="2"/>
      <c r="B597" s="2"/>
      <c r="C597" s="2"/>
      <c r="D597" s="2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3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</row>
    <row r="598" spans="1:65" ht="14.25" customHeight="1" x14ac:dyDescent="0.25">
      <c r="A598" s="2"/>
      <c r="B598" s="2"/>
      <c r="C598" s="2"/>
      <c r="D598" s="2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3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</row>
    <row r="599" spans="1:65" ht="14.25" customHeight="1" x14ac:dyDescent="0.25">
      <c r="A599" s="2"/>
      <c r="B599" s="2"/>
      <c r="C599" s="2"/>
      <c r="D599" s="2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3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</row>
    <row r="600" spans="1:65" ht="14.25" customHeight="1" x14ac:dyDescent="0.25">
      <c r="A600" s="2"/>
      <c r="B600" s="2"/>
      <c r="C600" s="2"/>
      <c r="D600" s="2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3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</row>
    <row r="601" spans="1:65" ht="14.25" customHeight="1" x14ac:dyDescent="0.25">
      <c r="A601" s="2"/>
      <c r="B601" s="2"/>
      <c r="C601" s="2"/>
      <c r="D601" s="2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3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</row>
    <row r="602" spans="1:65" ht="14.25" customHeight="1" x14ac:dyDescent="0.25">
      <c r="A602" s="2"/>
      <c r="B602" s="2"/>
      <c r="C602" s="2"/>
      <c r="D602" s="2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3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</row>
    <row r="603" spans="1:65" ht="14.25" customHeight="1" x14ac:dyDescent="0.25">
      <c r="A603" s="2"/>
      <c r="B603" s="2"/>
      <c r="C603" s="2"/>
      <c r="D603" s="2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3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</row>
    <row r="604" spans="1:65" ht="14.25" customHeight="1" x14ac:dyDescent="0.25">
      <c r="A604" s="2"/>
      <c r="B604" s="2"/>
      <c r="C604" s="2"/>
      <c r="D604" s="2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3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</row>
    <row r="605" spans="1:65" ht="14.25" customHeight="1" x14ac:dyDescent="0.25">
      <c r="A605" s="2"/>
      <c r="B605" s="2"/>
      <c r="C605" s="2"/>
      <c r="D605" s="2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3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</row>
    <row r="606" spans="1:65" ht="14.25" customHeight="1" x14ac:dyDescent="0.25">
      <c r="A606" s="2"/>
      <c r="B606" s="2"/>
      <c r="C606" s="2"/>
      <c r="D606" s="2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3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</row>
    <row r="607" spans="1:65" ht="14.25" customHeight="1" x14ac:dyDescent="0.25">
      <c r="A607" s="2"/>
      <c r="B607" s="2"/>
      <c r="C607" s="2"/>
      <c r="D607" s="2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3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</row>
    <row r="608" spans="1:65" ht="14.25" customHeight="1" x14ac:dyDescent="0.25">
      <c r="A608" s="2"/>
      <c r="B608" s="2"/>
      <c r="C608" s="2"/>
      <c r="D608" s="2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3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</row>
    <row r="609" spans="1:65" ht="14.25" customHeight="1" x14ac:dyDescent="0.25">
      <c r="A609" s="2"/>
      <c r="B609" s="2"/>
      <c r="C609" s="2"/>
      <c r="D609" s="2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3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</row>
    <row r="610" spans="1:65" ht="14.25" customHeight="1" x14ac:dyDescent="0.25">
      <c r="A610" s="2"/>
      <c r="B610" s="2"/>
      <c r="C610" s="2"/>
      <c r="D610" s="2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3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</row>
    <row r="611" spans="1:65" ht="14.25" customHeight="1" x14ac:dyDescent="0.25">
      <c r="A611" s="2"/>
      <c r="B611" s="2"/>
      <c r="C611" s="2"/>
      <c r="D611" s="2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3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</row>
    <row r="612" spans="1:65" ht="14.25" customHeight="1" x14ac:dyDescent="0.25">
      <c r="A612" s="2"/>
      <c r="B612" s="2"/>
      <c r="C612" s="2"/>
      <c r="D612" s="2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3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</row>
    <row r="613" spans="1:65" ht="14.25" customHeight="1" x14ac:dyDescent="0.25">
      <c r="A613" s="2"/>
      <c r="B613" s="2"/>
      <c r="C613" s="2"/>
      <c r="D613" s="2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3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</row>
    <row r="614" spans="1:65" ht="14.25" customHeight="1" x14ac:dyDescent="0.25">
      <c r="A614" s="2"/>
      <c r="B614" s="2"/>
      <c r="C614" s="2"/>
      <c r="D614" s="2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3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</row>
    <row r="615" spans="1:65" ht="14.25" customHeight="1" x14ac:dyDescent="0.25">
      <c r="A615" s="2"/>
      <c r="B615" s="2"/>
      <c r="C615" s="2"/>
      <c r="D615" s="2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3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</row>
    <row r="616" spans="1:65" ht="14.25" customHeight="1" x14ac:dyDescent="0.25">
      <c r="A616" s="2"/>
      <c r="B616" s="2"/>
      <c r="C616" s="2"/>
      <c r="D616" s="2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3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</row>
    <row r="617" spans="1:65" ht="14.25" customHeight="1" x14ac:dyDescent="0.25">
      <c r="A617" s="2"/>
      <c r="B617" s="2"/>
      <c r="C617" s="2"/>
      <c r="D617" s="2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3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</row>
    <row r="618" spans="1:65" ht="14.25" customHeight="1" x14ac:dyDescent="0.25">
      <c r="A618" s="2"/>
      <c r="B618" s="2"/>
      <c r="C618" s="2"/>
      <c r="D618" s="2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3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</row>
    <row r="619" spans="1:65" ht="14.25" customHeight="1" x14ac:dyDescent="0.25">
      <c r="A619" s="2"/>
      <c r="B619" s="2"/>
      <c r="C619" s="2"/>
      <c r="D619" s="2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3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</row>
    <row r="620" spans="1:65" ht="14.25" customHeight="1" x14ac:dyDescent="0.25">
      <c r="A620" s="2"/>
      <c r="B620" s="2"/>
      <c r="C620" s="2"/>
      <c r="D620" s="2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3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</row>
    <row r="621" spans="1:65" ht="14.25" customHeight="1" x14ac:dyDescent="0.25">
      <c r="A621" s="2"/>
      <c r="B621" s="2"/>
      <c r="C621" s="2"/>
      <c r="D621" s="2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3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</row>
    <row r="622" spans="1:65" ht="14.25" customHeight="1" x14ac:dyDescent="0.25">
      <c r="A622" s="2"/>
      <c r="B622" s="2"/>
      <c r="C622" s="2"/>
      <c r="D622" s="2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3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</row>
    <row r="623" spans="1:65" ht="14.25" customHeight="1" x14ac:dyDescent="0.25">
      <c r="A623" s="2"/>
      <c r="B623" s="2"/>
      <c r="C623" s="2"/>
      <c r="D623" s="2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3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</row>
    <row r="624" spans="1:65" ht="14.25" customHeight="1" x14ac:dyDescent="0.25">
      <c r="A624" s="2"/>
      <c r="B624" s="2"/>
      <c r="C624" s="2"/>
      <c r="D624" s="2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3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</row>
    <row r="625" spans="1:65" ht="14.25" customHeight="1" x14ac:dyDescent="0.25">
      <c r="A625" s="2"/>
      <c r="B625" s="2"/>
      <c r="C625" s="2"/>
      <c r="D625" s="2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3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</row>
    <row r="626" spans="1:65" ht="14.25" customHeight="1" x14ac:dyDescent="0.25">
      <c r="A626" s="2"/>
      <c r="B626" s="2"/>
      <c r="C626" s="2"/>
      <c r="D626" s="2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3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</row>
    <row r="627" spans="1:65" ht="14.25" customHeight="1" x14ac:dyDescent="0.25">
      <c r="A627" s="2"/>
      <c r="B627" s="2"/>
      <c r="C627" s="2"/>
      <c r="D627" s="2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3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</row>
    <row r="628" spans="1:65" ht="14.25" customHeight="1" x14ac:dyDescent="0.25">
      <c r="A628" s="2"/>
      <c r="B628" s="2"/>
      <c r="C628" s="2"/>
      <c r="D628" s="2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3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</row>
    <row r="629" spans="1:65" ht="14.25" customHeight="1" x14ac:dyDescent="0.25">
      <c r="A629" s="2"/>
      <c r="B629" s="2"/>
      <c r="C629" s="2"/>
      <c r="D629" s="2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3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</row>
    <row r="630" spans="1:65" ht="14.25" customHeight="1" x14ac:dyDescent="0.25">
      <c r="A630" s="2"/>
      <c r="B630" s="2"/>
      <c r="C630" s="2"/>
      <c r="D630" s="2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3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</row>
    <row r="631" spans="1:65" ht="14.25" customHeight="1" x14ac:dyDescent="0.25">
      <c r="A631" s="2"/>
      <c r="B631" s="2"/>
      <c r="C631" s="2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3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</row>
    <row r="632" spans="1:65" ht="14.25" customHeight="1" x14ac:dyDescent="0.25">
      <c r="A632" s="2"/>
      <c r="B632" s="2"/>
      <c r="C632" s="2"/>
      <c r="D632" s="2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3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</row>
    <row r="633" spans="1:65" ht="14.25" customHeight="1" x14ac:dyDescent="0.25">
      <c r="A633" s="2"/>
      <c r="B633" s="2"/>
      <c r="C633" s="2"/>
      <c r="D633" s="2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3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</row>
    <row r="634" spans="1:65" ht="14.25" customHeight="1" x14ac:dyDescent="0.25">
      <c r="A634" s="2"/>
      <c r="B634" s="2"/>
      <c r="C634" s="2"/>
      <c r="D634" s="2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3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</row>
    <row r="635" spans="1:65" ht="14.25" customHeight="1" x14ac:dyDescent="0.25">
      <c r="A635" s="2"/>
      <c r="B635" s="2"/>
      <c r="C635" s="2"/>
      <c r="D635" s="2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3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</row>
    <row r="636" spans="1:65" ht="14.25" customHeight="1" x14ac:dyDescent="0.25">
      <c r="A636" s="2"/>
      <c r="B636" s="2"/>
      <c r="C636" s="2"/>
      <c r="D636" s="2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3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</row>
    <row r="637" spans="1:65" ht="14.25" customHeight="1" x14ac:dyDescent="0.25">
      <c r="A637" s="2"/>
      <c r="B637" s="2"/>
      <c r="C637" s="2"/>
      <c r="D637" s="2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3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</row>
    <row r="638" spans="1:65" ht="14.25" customHeight="1" x14ac:dyDescent="0.25">
      <c r="A638" s="2"/>
      <c r="B638" s="2"/>
      <c r="C638" s="2"/>
      <c r="D638" s="2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3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</row>
    <row r="639" spans="1:65" ht="14.25" customHeight="1" x14ac:dyDescent="0.25">
      <c r="A639" s="2"/>
      <c r="B639" s="2"/>
      <c r="C639" s="2"/>
      <c r="D639" s="2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3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</row>
    <row r="640" spans="1:65" ht="14.25" customHeight="1" x14ac:dyDescent="0.25">
      <c r="A640" s="2"/>
      <c r="B640" s="2"/>
      <c r="C640" s="2"/>
      <c r="D640" s="2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3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</row>
    <row r="641" spans="1:65" ht="14.25" customHeight="1" x14ac:dyDescent="0.25">
      <c r="A641" s="2"/>
      <c r="B641" s="2"/>
      <c r="C641" s="2"/>
      <c r="D641" s="2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3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</row>
    <row r="642" spans="1:65" ht="14.25" customHeight="1" x14ac:dyDescent="0.25">
      <c r="A642" s="2"/>
      <c r="B642" s="2"/>
      <c r="C642" s="2"/>
      <c r="D642" s="2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3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</row>
    <row r="643" spans="1:65" ht="14.25" customHeight="1" x14ac:dyDescent="0.25">
      <c r="A643" s="2"/>
      <c r="B643" s="2"/>
      <c r="C643" s="2"/>
      <c r="D643" s="2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3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</row>
    <row r="644" spans="1:65" ht="14.25" customHeight="1" x14ac:dyDescent="0.25">
      <c r="A644" s="2"/>
      <c r="B644" s="2"/>
      <c r="C644" s="2"/>
      <c r="D644" s="2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3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</row>
    <row r="645" spans="1:65" ht="14.25" customHeight="1" x14ac:dyDescent="0.25">
      <c r="A645" s="2"/>
      <c r="B645" s="2"/>
      <c r="C645" s="2"/>
      <c r="D645" s="2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3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</row>
    <row r="646" spans="1:65" ht="14.25" customHeight="1" x14ac:dyDescent="0.25">
      <c r="A646" s="2"/>
      <c r="B646" s="2"/>
      <c r="C646" s="2"/>
      <c r="D646" s="2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3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</row>
    <row r="647" spans="1:65" ht="14.25" customHeight="1" x14ac:dyDescent="0.25">
      <c r="A647" s="2"/>
      <c r="B647" s="2"/>
      <c r="C647" s="2"/>
      <c r="D647" s="2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3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</row>
    <row r="648" spans="1:65" ht="14.25" customHeight="1" x14ac:dyDescent="0.25">
      <c r="A648" s="2"/>
      <c r="B648" s="2"/>
      <c r="C648" s="2"/>
      <c r="D648" s="2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3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</row>
    <row r="649" spans="1:65" ht="14.25" customHeight="1" x14ac:dyDescent="0.25">
      <c r="A649" s="2"/>
      <c r="B649" s="2"/>
      <c r="C649" s="2"/>
      <c r="D649" s="2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3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</row>
    <row r="650" spans="1:65" ht="14.25" customHeight="1" x14ac:dyDescent="0.25">
      <c r="A650" s="2"/>
      <c r="B650" s="2"/>
      <c r="C650" s="2"/>
      <c r="D650" s="2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3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</row>
    <row r="651" spans="1:65" ht="14.25" customHeight="1" x14ac:dyDescent="0.25">
      <c r="A651" s="2"/>
      <c r="B651" s="2"/>
      <c r="C651" s="2"/>
      <c r="D651" s="2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3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</row>
    <row r="652" spans="1:65" ht="14.25" customHeight="1" x14ac:dyDescent="0.25">
      <c r="A652" s="2"/>
      <c r="B652" s="2"/>
      <c r="C652" s="2"/>
      <c r="D652" s="2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3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</row>
    <row r="653" spans="1:65" ht="14.25" customHeight="1" x14ac:dyDescent="0.25">
      <c r="A653" s="2"/>
      <c r="B653" s="2"/>
      <c r="C653" s="2"/>
      <c r="D653" s="2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3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</row>
    <row r="654" spans="1:65" ht="14.25" customHeight="1" x14ac:dyDescent="0.25">
      <c r="A654" s="2"/>
      <c r="B654" s="2"/>
      <c r="C654" s="2"/>
      <c r="D654" s="2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3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</row>
    <row r="655" spans="1:65" ht="14.25" customHeight="1" x14ac:dyDescent="0.25">
      <c r="A655" s="2"/>
      <c r="B655" s="2"/>
      <c r="C655" s="2"/>
      <c r="D655" s="2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3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</row>
    <row r="656" spans="1:65" ht="14.25" customHeight="1" x14ac:dyDescent="0.25">
      <c r="A656" s="2"/>
      <c r="B656" s="2"/>
      <c r="C656" s="2"/>
      <c r="D656" s="2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3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</row>
    <row r="657" spans="1:65" ht="14.25" customHeight="1" x14ac:dyDescent="0.25">
      <c r="A657" s="2"/>
      <c r="B657" s="2"/>
      <c r="C657" s="2"/>
      <c r="D657" s="2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3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</row>
    <row r="658" spans="1:65" ht="14.25" customHeight="1" x14ac:dyDescent="0.25">
      <c r="A658" s="2"/>
      <c r="B658" s="2"/>
      <c r="C658" s="2"/>
      <c r="D658" s="2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3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</row>
    <row r="659" spans="1:65" ht="14.25" customHeight="1" x14ac:dyDescent="0.25">
      <c r="A659" s="2"/>
      <c r="B659" s="2"/>
      <c r="C659" s="2"/>
      <c r="D659" s="2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3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</row>
    <row r="660" spans="1:65" ht="14.25" customHeight="1" x14ac:dyDescent="0.25">
      <c r="A660" s="2"/>
      <c r="B660" s="2"/>
      <c r="C660" s="2"/>
      <c r="D660" s="2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3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</row>
    <row r="661" spans="1:65" ht="14.25" customHeight="1" x14ac:dyDescent="0.25">
      <c r="A661" s="2"/>
      <c r="B661" s="2"/>
      <c r="C661" s="2"/>
      <c r="D661" s="2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3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</row>
    <row r="662" spans="1:65" ht="14.25" customHeight="1" x14ac:dyDescent="0.25">
      <c r="A662" s="2"/>
      <c r="B662" s="2"/>
      <c r="C662" s="2"/>
      <c r="D662" s="2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3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</row>
    <row r="663" spans="1:65" ht="14.25" customHeight="1" x14ac:dyDescent="0.25">
      <c r="A663" s="2"/>
      <c r="B663" s="2"/>
      <c r="C663" s="2"/>
      <c r="D663" s="2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3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</row>
    <row r="664" spans="1:65" ht="14.25" customHeight="1" x14ac:dyDescent="0.25">
      <c r="A664" s="2"/>
      <c r="B664" s="2"/>
      <c r="C664" s="2"/>
      <c r="D664" s="2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3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</row>
    <row r="665" spans="1:65" ht="14.25" customHeight="1" x14ac:dyDescent="0.25">
      <c r="A665" s="2"/>
      <c r="B665" s="2"/>
      <c r="C665" s="2"/>
      <c r="D665" s="2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3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</row>
    <row r="666" spans="1:65" ht="14.25" customHeight="1" x14ac:dyDescent="0.25">
      <c r="A666" s="2"/>
      <c r="B666" s="2"/>
      <c r="C666" s="2"/>
      <c r="D666" s="2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3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</row>
    <row r="667" spans="1:65" ht="14.25" customHeight="1" x14ac:dyDescent="0.25">
      <c r="A667" s="2"/>
      <c r="B667" s="2"/>
      <c r="C667" s="2"/>
      <c r="D667" s="2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3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</row>
    <row r="668" spans="1:65" ht="14.25" customHeight="1" x14ac:dyDescent="0.25">
      <c r="A668" s="2"/>
      <c r="B668" s="2"/>
      <c r="C668" s="2"/>
      <c r="D668" s="2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3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</row>
    <row r="669" spans="1:65" ht="14.25" customHeight="1" x14ac:dyDescent="0.25">
      <c r="A669" s="2"/>
      <c r="B669" s="2"/>
      <c r="C669" s="2"/>
      <c r="D669" s="2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3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</row>
    <row r="670" spans="1:65" ht="14.25" customHeight="1" x14ac:dyDescent="0.25">
      <c r="A670" s="2"/>
      <c r="B670" s="2"/>
      <c r="C670" s="2"/>
      <c r="D670" s="2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3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</row>
    <row r="671" spans="1:65" ht="14.25" customHeight="1" x14ac:dyDescent="0.25">
      <c r="A671" s="2"/>
      <c r="B671" s="2"/>
      <c r="C671" s="2"/>
      <c r="D671" s="2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3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</row>
    <row r="672" spans="1:65" ht="14.25" customHeight="1" x14ac:dyDescent="0.25">
      <c r="A672" s="2"/>
      <c r="B672" s="2"/>
      <c r="C672" s="2"/>
      <c r="D672" s="2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3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</row>
    <row r="673" spans="1:65" ht="14.25" customHeight="1" x14ac:dyDescent="0.25">
      <c r="A673" s="2"/>
      <c r="B673" s="2"/>
      <c r="C673" s="2"/>
      <c r="D673" s="2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3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</row>
    <row r="674" spans="1:65" ht="14.25" customHeight="1" x14ac:dyDescent="0.25">
      <c r="A674" s="2"/>
      <c r="B674" s="2"/>
      <c r="C674" s="2"/>
      <c r="D674" s="2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3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</row>
    <row r="675" spans="1:65" ht="14.25" customHeight="1" x14ac:dyDescent="0.25">
      <c r="A675" s="2"/>
      <c r="B675" s="2"/>
      <c r="C675" s="2"/>
      <c r="D675" s="2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3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</row>
    <row r="676" spans="1:65" ht="14.25" customHeight="1" x14ac:dyDescent="0.25">
      <c r="A676" s="2"/>
      <c r="B676" s="2"/>
      <c r="C676" s="2"/>
      <c r="D676" s="2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3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</row>
    <row r="677" spans="1:65" ht="14.25" customHeight="1" x14ac:dyDescent="0.25">
      <c r="A677" s="2"/>
      <c r="B677" s="2"/>
      <c r="C677" s="2"/>
      <c r="D677" s="2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3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</row>
    <row r="678" spans="1:65" ht="14.25" customHeight="1" x14ac:dyDescent="0.25">
      <c r="A678" s="2"/>
      <c r="B678" s="2"/>
      <c r="C678" s="2"/>
      <c r="D678" s="2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3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</row>
    <row r="679" spans="1:65" ht="14.25" customHeight="1" x14ac:dyDescent="0.25">
      <c r="A679" s="2"/>
      <c r="B679" s="2"/>
      <c r="C679" s="2"/>
      <c r="D679" s="2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3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</row>
    <row r="680" spans="1:65" ht="14.25" customHeight="1" x14ac:dyDescent="0.25">
      <c r="A680" s="2"/>
      <c r="B680" s="2"/>
      <c r="C680" s="2"/>
      <c r="D680" s="2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3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</row>
    <row r="681" spans="1:65" ht="14.25" customHeight="1" x14ac:dyDescent="0.25">
      <c r="A681" s="2"/>
      <c r="B681" s="2"/>
      <c r="C681" s="2"/>
      <c r="D681" s="2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3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</row>
    <row r="682" spans="1:65" ht="14.25" customHeight="1" x14ac:dyDescent="0.25">
      <c r="A682" s="2"/>
      <c r="B682" s="2"/>
      <c r="C682" s="2"/>
      <c r="D682" s="2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3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</row>
    <row r="683" spans="1:65" ht="14.25" customHeight="1" x14ac:dyDescent="0.25">
      <c r="A683" s="2"/>
      <c r="B683" s="2"/>
      <c r="C683" s="2"/>
      <c r="D683" s="2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3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</row>
    <row r="684" spans="1:65" ht="14.25" customHeight="1" x14ac:dyDescent="0.25">
      <c r="A684" s="2"/>
      <c r="B684" s="2"/>
      <c r="C684" s="2"/>
      <c r="D684" s="2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3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</row>
    <row r="685" spans="1:65" ht="14.25" customHeight="1" x14ac:dyDescent="0.25">
      <c r="A685" s="2"/>
      <c r="B685" s="2"/>
      <c r="C685" s="2"/>
      <c r="D685" s="2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3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</row>
    <row r="686" spans="1:65" ht="14.25" customHeight="1" x14ac:dyDescent="0.25">
      <c r="A686" s="2"/>
      <c r="B686" s="2"/>
      <c r="C686" s="2"/>
      <c r="D686" s="2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3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</row>
    <row r="687" spans="1:65" ht="14.25" customHeight="1" x14ac:dyDescent="0.25">
      <c r="A687" s="2"/>
      <c r="B687" s="2"/>
      <c r="C687" s="2"/>
      <c r="D687" s="2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3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</row>
    <row r="688" spans="1:65" ht="14.25" customHeight="1" x14ac:dyDescent="0.25">
      <c r="A688" s="2"/>
      <c r="B688" s="2"/>
      <c r="C688" s="2"/>
      <c r="D688" s="2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3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</row>
    <row r="689" spans="1:65" ht="14.25" customHeight="1" x14ac:dyDescent="0.25">
      <c r="A689" s="2"/>
      <c r="B689" s="2"/>
      <c r="C689" s="2"/>
      <c r="D689" s="2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3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</row>
    <row r="690" spans="1:65" ht="14.25" customHeight="1" x14ac:dyDescent="0.25">
      <c r="A690" s="2"/>
      <c r="B690" s="2"/>
      <c r="C690" s="2"/>
      <c r="D690" s="2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3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</row>
    <row r="691" spans="1:65" ht="14.25" customHeight="1" x14ac:dyDescent="0.25">
      <c r="A691" s="2"/>
      <c r="B691" s="2"/>
      <c r="C691" s="2"/>
      <c r="D691" s="2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3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</row>
    <row r="692" spans="1:65" ht="14.25" customHeight="1" x14ac:dyDescent="0.25">
      <c r="A692" s="2"/>
      <c r="B692" s="2"/>
      <c r="C692" s="2"/>
      <c r="D692" s="2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3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</row>
    <row r="693" spans="1:65" ht="14.25" customHeight="1" x14ac:dyDescent="0.25">
      <c r="A693" s="2"/>
      <c r="B693" s="2"/>
      <c r="C693" s="2"/>
      <c r="D693" s="2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3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</row>
    <row r="694" spans="1:65" ht="14.25" customHeight="1" x14ac:dyDescent="0.25">
      <c r="A694" s="2"/>
      <c r="B694" s="2"/>
      <c r="C694" s="2"/>
      <c r="D694" s="2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3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</row>
    <row r="695" spans="1:65" ht="14.25" customHeight="1" x14ac:dyDescent="0.25">
      <c r="A695" s="2"/>
      <c r="B695" s="2"/>
      <c r="C695" s="2"/>
      <c r="D695" s="2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3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</row>
    <row r="696" spans="1:65" ht="14.25" customHeight="1" x14ac:dyDescent="0.25">
      <c r="A696" s="2"/>
      <c r="B696" s="2"/>
      <c r="C696" s="2"/>
      <c r="D696" s="2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3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</row>
    <row r="697" spans="1:65" ht="14.25" customHeight="1" x14ac:dyDescent="0.25">
      <c r="A697" s="2"/>
      <c r="B697" s="2"/>
      <c r="C697" s="2"/>
      <c r="D697" s="2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3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</row>
    <row r="698" spans="1:65" ht="14.25" customHeight="1" x14ac:dyDescent="0.25">
      <c r="A698" s="2"/>
      <c r="B698" s="2"/>
      <c r="C698" s="2"/>
      <c r="D698" s="2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3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</row>
    <row r="699" spans="1:65" ht="14.25" customHeight="1" x14ac:dyDescent="0.25">
      <c r="A699" s="2"/>
      <c r="B699" s="2"/>
      <c r="C699" s="2"/>
      <c r="D699" s="2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3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</row>
    <row r="700" spans="1:65" ht="14.25" customHeight="1" x14ac:dyDescent="0.25">
      <c r="A700" s="2"/>
      <c r="B700" s="2"/>
      <c r="C700" s="2"/>
      <c r="D700" s="2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3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</row>
    <row r="701" spans="1:65" ht="14.25" customHeight="1" x14ac:dyDescent="0.25">
      <c r="A701" s="2"/>
      <c r="B701" s="2"/>
      <c r="C701" s="2"/>
      <c r="D701" s="2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3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</row>
    <row r="702" spans="1:65" ht="14.25" customHeight="1" x14ac:dyDescent="0.25">
      <c r="A702" s="2"/>
      <c r="B702" s="2"/>
      <c r="C702" s="2"/>
      <c r="D702" s="2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3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</row>
    <row r="703" spans="1:65" ht="14.25" customHeight="1" x14ac:dyDescent="0.25">
      <c r="A703" s="2"/>
      <c r="B703" s="2"/>
      <c r="C703" s="2"/>
      <c r="D703" s="2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3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</row>
    <row r="704" spans="1:65" ht="14.25" customHeight="1" x14ac:dyDescent="0.25">
      <c r="A704" s="2"/>
      <c r="B704" s="2"/>
      <c r="C704" s="2"/>
      <c r="D704" s="2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3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</row>
    <row r="705" spans="1:65" ht="14.25" customHeight="1" x14ac:dyDescent="0.25">
      <c r="A705" s="2"/>
      <c r="B705" s="2"/>
      <c r="C705" s="2"/>
      <c r="D705" s="2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3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</row>
    <row r="706" spans="1:65" ht="14.25" customHeight="1" x14ac:dyDescent="0.25">
      <c r="A706" s="2"/>
      <c r="B706" s="2"/>
      <c r="C706" s="2"/>
      <c r="D706" s="2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3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</row>
    <row r="707" spans="1:65" ht="14.25" customHeight="1" x14ac:dyDescent="0.25">
      <c r="A707" s="2"/>
      <c r="B707" s="2"/>
      <c r="C707" s="2"/>
      <c r="D707" s="2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3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</row>
    <row r="708" spans="1:65" ht="14.25" customHeight="1" x14ac:dyDescent="0.25">
      <c r="A708" s="2"/>
      <c r="B708" s="2"/>
      <c r="C708" s="2"/>
      <c r="D708" s="2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3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</row>
    <row r="709" spans="1:65" ht="14.25" customHeight="1" x14ac:dyDescent="0.25">
      <c r="A709" s="2"/>
      <c r="B709" s="2"/>
      <c r="C709" s="2"/>
      <c r="D709" s="2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3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</row>
    <row r="710" spans="1:65" ht="14.25" customHeight="1" x14ac:dyDescent="0.25">
      <c r="A710" s="2"/>
      <c r="B710" s="2"/>
      <c r="C710" s="2"/>
      <c r="D710" s="2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3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</row>
    <row r="711" spans="1:65" ht="14.25" customHeight="1" x14ac:dyDescent="0.25">
      <c r="A711" s="2"/>
      <c r="B711" s="2"/>
      <c r="C711" s="2"/>
      <c r="D711" s="2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3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</row>
    <row r="712" spans="1:65" ht="14.25" customHeight="1" x14ac:dyDescent="0.25">
      <c r="A712" s="2"/>
      <c r="B712" s="2"/>
      <c r="C712" s="2"/>
      <c r="D712" s="2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3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</row>
    <row r="713" spans="1:65" ht="14.25" customHeight="1" x14ac:dyDescent="0.25">
      <c r="A713" s="2"/>
      <c r="B713" s="2"/>
      <c r="C713" s="2"/>
      <c r="D713" s="2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3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</row>
    <row r="714" spans="1:65" ht="14.25" customHeight="1" x14ac:dyDescent="0.25">
      <c r="A714" s="2"/>
      <c r="B714" s="2"/>
      <c r="C714" s="2"/>
      <c r="D714" s="2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3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</row>
    <row r="715" spans="1:65" ht="14.25" customHeight="1" x14ac:dyDescent="0.25">
      <c r="A715" s="2"/>
      <c r="B715" s="2"/>
      <c r="C715" s="2"/>
      <c r="D715" s="2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3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</row>
    <row r="716" spans="1:65" ht="14.25" customHeight="1" x14ac:dyDescent="0.25">
      <c r="A716" s="2"/>
      <c r="B716" s="2"/>
      <c r="C716" s="2"/>
      <c r="D716" s="2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3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</row>
    <row r="717" spans="1:65" ht="14.25" customHeight="1" x14ac:dyDescent="0.25">
      <c r="A717" s="2"/>
      <c r="B717" s="2"/>
      <c r="C717" s="2"/>
      <c r="D717" s="2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3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</row>
    <row r="718" spans="1:65" ht="14.25" customHeight="1" x14ac:dyDescent="0.25">
      <c r="A718" s="2"/>
      <c r="B718" s="2"/>
      <c r="C718" s="2"/>
      <c r="D718" s="2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3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</row>
    <row r="719" spans="1:65" ht="14.25" customHeight="1" x14ac:dyDescent="0.25">
      <c r="A719" s="2"/>
      <c r="B719" s="2"/>
      <c r="C719" s="2"/>
      <c r="D719" s="2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3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</row>
    <row r="720" spans="1:65" ht="14.25" customHeight="1" x14ac:dyDescent="0.25">
      <c r="A720" s="2"/>
      <c r="B720" s="2"/>
      <c r="C720" s="2"/>
      <c r="D720" s="2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3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</row>
    <row r="721" spans="1:65" ht="14.25" customHeight="1" x14ac:dyDescent="0.25">
      <c r="A721" s="2"/>
      <c r="B721" s="2"/>
      <c r="C721" s="2"/>
      <c r="D721" s="2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3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</row>
    <row r="722" spans="1:65" ht="14.25" customHeight="1" x14ac:dyDescent="0.25">
      <c r="A722" s="2"/>
      <c r="B722" s="2"/>
      <c r="C722" s="2"/>
      <c r="D722" s="2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3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</row>
    <row r="723" spans="1:65" ht="14.25" customHeight="1" x14ac:dyDescent="0.25">
      <c r="A723" s="2"/>
      <c r="B723" s="2"/>
      <c r="C723" s="2"/>
      <c r="D723" s="2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3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</row>
    <row r="724" spans="1:65" ht="14.25" customHeight="1" x14ac:dyDescent="0.25">
      <c r="A724" s="2"/>
      <c r="B724" s="2"/>
      <c r="C724" s="2"/>
      <c r="D724" s="2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3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</row>
    <row r="725" spans="1:65" ht="14.25" customHeight="1" x14ac:dyDescent="0.25">
      <c r="A725" s="2"/>
      <c r="B725" s="2"/>
      <c r="C725" s="2"/>
      <c r="D725" s="2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3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</row>
    <row r="726" spans="1:65" ht="14.25" customHeight="1" x14ac:dyDescent="0.25">
      <c r="A726" s="2"/>
      <c r="B726" s="2"/>
      <c r="C726" s="2"/>
      <c r="D726" s="2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3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</row>
    <row r="727" spans="1:65" ht="14.25" customHeight="1" x14ac:dyDescent="0.25">
      <c r="A727" s="2"/>
      <c r="B727" s="2"/>
      <c r="C727" s="2"/>
      <c r="D727" s="2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3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</row>
    <row r="728" spans="1:65" ht="14.25" customHeight="1" x14ac:dyDescent="0.25">
      <c r="A728" s="2"/>
      <c r="B728" s="2"/>
      <c r="C728" s="2"/>
      <c r="D728" s="2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3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</row>
    <row r="729" spans="1:65" ht="14.25" customHeight="1" x14ac:dyDescent="0.25">
      <c r="A729" s="2"/>
      <c r="B729" s="2"/>
      <c r="C729" s="2"/>
      <c r="D729" s="2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3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</row>
    <row r="730" spans="1:65" ht="14.25" customHeight="1" x14ac:dyDescent="0.25">
      <c r="A730" s="2"/>
      <c r="B730" s="2"/>
      <c r="C730" s="2"/>
      <c r="D730" s="2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3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</row>
    <row r="731" spans="1:65" ht="14.25" customHeight="1" x14ac:dyDescent="0.25">
      <c r="A731" s="2"/>
      <c r="B731" s="2"/>
      <c r="C731" s="2"/>
      <c r="D731" s="2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3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</row>
    <row r="732" spans="1:65" ht="14.25" customHeight="1" x14ac:dyDescent="0.25">
      <c r="A732" s="2"/>
      <c r="B732" s="2"/>
      <c r="C732" s="2"/>
      <c r="D732" s="2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3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</row>
    <row r="733" spans="1:65" ht="14.25" customHeight="1" x14ac:dyDescent="0.25">
      <c r="A733" s="2"/>
      <c r="B733" s="2"/>
      <c r="C733" s="2"/>
      <c r="D733" s="2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3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</row>
    <row r="734" spans="1:65" ht="14.25" customHeight="1" x14ac:dyDescent="0.25">
      <c r="A734" s="2"/>
      <c r="B734" s="2"/>
      <c r="C734" s="2"/>
      <c r="D734" s="2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3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</row>
    <row r="735" spans="1:65" ht="14.25" customHeight="1" x14ac:dyDescent="0.25">
      <c r="A735" s="2"/>
      <c r="B735" s="2"/>
      <c r="C735" s="2"/>
      <c r="D735" s="2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3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</row>
    <row r="736" spans="1:65" ht="14.25" customHeight="1" x14ac:dyDescent="0.25">
      <c r="A736" s="2"/>
      <c r="B736" s="2"/>
      <c r="C736" s="2"/>
      <c r="D736" s="2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3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</row>
    <row r="737" spans="1:65" ht="14.25" customHeight="1" x14ac:dyDescent="0.25">
      <c r="A737" s="2"/>
      <c r="B737" s="2"/>
      <c r="C737" s="2"/>
      <c r="D737" s="2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3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</row>
    <row r="738" spans="1:65" ht="14.25" customHeight="1" x14ac:dyDescent="0.25">
      <c r="A738" s="2"/>
      <c r="B738" s="2"/>
      <c r="C738" s="2"/>
      <c r="D738" s="2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3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</row>
    <row r="739" spans="1:65" ht="14.25" customHeight="1" x14ac:dyDescent="0.25">
      <c r="A739" s="2"/>
      <c r="B739" s="2"/>
      <c r="C739" s="2"/>
      <c r="D739" s="2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3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</row>
    <row r="740" spans="1:65" ht="14.25" customHeight="1" x14ac:dyDescent="0.25">
      <c r="A740" s="2"/>
      <c r="B740" s="2"/>
      <c r="C740" s="2"/>
      <c r="D740" s="2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3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</row>
    <row r="741" spans="1:65" ht="14.25" customHeight="1" x14ac:dyDescent="0.25">
      <c r="A741" s="2"/>
      <c r="B741" s="2"/>
      <c r="C741" s="2"/>
      <c r="D741" s="2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3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</row>
    <row r="742" spans="1:65" ht="14.25" customHeight="1" x14ac:dyDescent="0.25">
      <c r="A742" s="2"/>
      <c r="B742" s="2"/>
      <c r="C742" s="2"/>
      <c r="D742" s="2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3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</row>
    <row r="743" spans="1:65" ht="14.25" customHeight="1" x14ac:dyDescent="0.25">
      <c r="A743" s="2"/>
      <c r="B743" s="2"/>
      <c r="C743" s="2"/>
      <c r="D743" s="2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3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</row>
    <row r="744" spans="1:65" ht="14.25" customHeight="1" x14ac:dyDescent="0.25">
      <c r="A744" s="2"/>
      <c r="B744" s="2"/>
      <c r="C744" s="2"/>
      <c r="D744" s="2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3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</row>
    <row r="745" spans="1:65" ht="14.25" customHeight="1" x14ac:dyDescent="0.25">
      <c r="A745" s="2"/>
      <c r="B745" s="2"/>
      <c r="C745" s="2"/>
      <c r="D745" s="2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3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</row>
    <row r="746" spans="1:65" ht="14.25" customHeight="1" x14ac:dyDescent="0.25">
      <c r="A746" s="2"/>
      <c r="B746" s="2"/>
      <c r="C746" s="2"/>
      <c r="D746" s="2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3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</row>
    <row r="747" spans="1:65" ht="14.25" customHeight="1" x14ac:dyDescent="0.25">
      <c r="A747" s="2"/>
      <c r="B747" s="2"/>
      <c r="C747" s="2"/>
      <c r="D747" s="2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3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</row>
    <row r="748" spans="1:65" ht="14.25" customHeight="1" x14ac:dyDescent="0.25">
      <c r="A748" s="2"/>
      <c r="B748" s="2"/>
      <c r="C748" s="2"/>
      <c r="D748" s="2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3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</row>
    <row r="749" spans="1:65" ht="14.25" customHeight="1" x14ac:dyDescent="0.25">
      <c r="A749" s="2"/>
      <c r="B749" s="2"/>
      <c r="C749" s="2"/>
      <c r="D749" s="2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3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</row>
    <row r="750" spans="1:65" ht="14.25" customHeight="1" x14ac:dyDescent="0.25">
      <c r="A750" s="2"/>
      <c r="B750" s="2"/>
      <c r="C750" s="2"/>
      <c r="D750" s="2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3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</row>
    <row r="751" spans="1:65" ht="14.25" customHeight="1" x14ac:dyDescent="0.25">
      <c r="A751" s="2"/>
      <c r="B751" s="2"/>
      <c r="C751" s="2"/>
      <c r="D751" s="2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3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</row>
    <row r="752" spans="1:65" ht="14.25" customHeight="1" x14ac:dyDescent="0.25">
      <c r="A752" s="2"/>
      <c r="B752" s="2"/>
      <c r="C752" s="2"/>
      <c r="D752" s="2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3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</row>
    <row r="753" spans="1:65" ht="14.25" customHeight="1" x14ac:dyDescent="0.25">
      <c r="A753" s="2"/>
      <c r="B753" s="2"/>
      <c r="C753" s="2"/>
      <c r="D753" s="2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3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</row>
    <row r="754" spans="1:65" ht="14.25" customHeight="1" x14ac:dyDescent="0.25">
      <c r="A754" s="2"/>
      <c r="B754" s="2"/>
      <c r="C754" s="2"/>
      <c r="D754" s="2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3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</row>
    <row r="755" spans="1:65" ht="14.25" customHeight="1" x14ac:dyDescent="0.25">
      <c r="A755" s="2"/>
      <c r="B755" s="2"/>
      <c r="C755" s="2"/>
      <c r="D755" s="2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3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</row>
    <row r="756" spans="1:65" ht="14.25" customHeight="1" x14ac:dyDescent="0.25">
      <c r="A756" s="2"/>
      <c r="B756" s="2"/>
      <c r="C756" s="2"/>
      <c r="D756" s="2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3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</row>
    <row r="757" spans="1:65" ht="14.25" customHeight="1" x14ac:dyDescent="0.25">
      <c r="A757" s="2"/>
      <c r="B757" s="2"/>
      <c r="C757" s="2"/>
      <c r="D757" s="2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3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</row>
    <row r="758" spans="1:65" ht="14.25" customHeight="1" x14ac:dyDescent="0.25">
      <c r="A758" s="2"/>
      <c r="B758" s="2"/>
      <c r="C758" s="2"/>
      <c r="D758" s="2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3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</row>
    <row r="759" spans="1:65" ht="14.25" customHeight="1" x14ac:dyDescent="0.25">
      <c r="A759" s="2"/>
      <c r="B759" s="2"/>
      <c r="C759" s="2"/>
      <c r="D759" s="2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3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</row>
    <row r="760" spans="1:65" ht="14.25" customHeight="1" x14ac:dyDescent="0.25">
      <c r="A760" s="2"/>
      <c r="B760" s="2"/>
      <c r="C760" s="2"/>
      <c r="D760" s="2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3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</row>
    <row r="761" spans="1:65" ht="14.25" customHeight="1" x14ac:dyDescent="0.25">
      <c r="A761" s="2"/>
      <c r="B761" s="2"/>
      <c r="C761" s="2"/>
      <c r="D761" s="2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3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</row>
    <row r="762" spans="1:65" ht="14.25" customHeight="1" x14ac:dyDescent="0.25">
      <c r="A762" s="2"/>
      <c r="B762" s="2"/>
      <c r="C762" s="2"/>
      <c r="D762" s="2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3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</row>
    <row r="763" spans="1:65" ht="14.25" customHeight="1" x14ac:dyDescent="0.25">
      <c r="A763" s="2"/>
      <c r="B763" s="2"/>
      <c r="C763" s="2"/>
      <c r="D763" s="2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3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</row>
    <row r="764" spans="1:65" ht="14.25" customHeight="1" x14ac:dyDescent="0.25">
      <c r="A764" s="2"/>
      <c r="B764" s="2"/>
      <c r="C764" s="2"/>
      <c r="D764" s="2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3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</row>
    <row r="765" spans="1:65" ht="14.25" customHeight="1" x14ac:dyDescent="0.25">
      <c r="A765" s="2"/>
      <c r="B765" s="2"/>
      <c r="C765" s="2"/>
      <c r="D765" s="2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3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</row>
    <row r="766" spans="1:65" ht="14.25" customHeight="1" x14ac:dyDescent="0.25">
      <c r="A766" s="2"/>
      <c r="B766" s="2"/>
      <c r="C766" s="2"/>
      <c r="D766" s="2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3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</row>
    <row r="767" spans="1:65" ht="14.25" customHeight="1" x14ac:dyDescent="0.25">
      <c r="A767" s="2"/>
      <c r="B767" s="2"/>
      <c r="C767" s="2"/>
      <c r="D767" s="2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3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</row>
    <row r="768" spans="1:65" ht="14.25" customHeight="1" x14ac:dyDescent="0.25">
      <c r="A768" s="2"/>
      <c r="B768" s="2"/>
      <c r="C768" s="2"/>
      <c r="D768" s="2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3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</row>
    <row r="769" spans="1:65" ht="14.25" customHeight="1" x14ac:dyDescent="0.25">
      <c r="A769" s="2"/>
      <c r="B769" s="2"/>
      <c r="C769" s="2"/>
      <c r="D769" s="2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3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</row>
    <row r="770" spans="1:65" ht="14.25" customHeight="1" x14ac:dyDescent="0.25">
      <c r="A770" s="2"/>
      <c r="B770" s="2"/>
      <c r="C770" s="2"/>
      <c r="D770" s="2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3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</row>
    <row r="771" spans="1:65" ht="14.25" customHeight="1" x14ac:dyDescent="0.25">
      <c r="A771" s="2"/>
      <c r="B771" s="2"/>
      <c r="C771" s="2"/>
      <c r="D771" s="2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3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</row>
    <row r="772" spans="1:65" ht="14.25" customHeight="1" x14ac:dyDescent="0.25">
      <c r="A772" s="2"/>
      <c r="B772" s="2"/>
      <c r="C772" s="2"/>
      <c r="D772" s="2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3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</row>
    <row r="773" spans="1:65" ht="14.25" customHeight="1" x14ac:dyDescent="0.25">
      <c r="A773" s="2"/>
      <c r="B773" s="2"/>
      <c r="C773" s="2"/>
      <c r="D773" s="2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3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</row>
    <row r="774" spans="1:65" ht="14.25" customHeight="1" x14ac:dyDescent="0.25">
      <c r="A774" s="2"/>
      <c r="B774" s="2"/>
      <c r="C774" s="2"/>
      <c r="D774" s="2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3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</row>
    <row r="775" spans="1:65" ht="14.25" customHeight="1" x14ac:dyDescent="0.25">
      <c r="A775" s="2"/>
      <c r="B775" s="2"/>
      <c r="C775" s="2"/>
      <c r="D775" s="2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3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</row>
    <row r="776" spans="1:65" ht="14.25" customHeight="1" x14ac:dyDescent="0.25">
      <c r="A776" s="2"/>
      <c r="B776" s="2"/>
      <c r="C776" s="2"/>
      <c r="D776" s="2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3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</row>
    <row r="777" spans="1:65" ht="14.25" customHeight="1" x14ac:dyDescent="0.25">
      <c r="A777" s="2"/>
      <c r="B777" s="2"/>
      <c r="C777" s="2"/>
      <c r="D777" s="2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3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</row>
    <row r="778" spans="1:65" ht="14.25" customHeight="1" x14ac:dyDescent="0.25">
      <c r="A778" s="2"/>
      <c r="B778" s="2"/>
      <c r="C778" s="2"/>
      <c r="D778" s="2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3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</row>
    <row r="779" spans="1:65" ht="14.25" customHeight="1" x14ac:dyDescent="0.25">
      <c r="A779" s="2"/>
      <c r="B779" s="2"/>
      <c r="C779" s="2"/>
      <c r="D779" s="2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3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</row>
    <row r="780" spans="1:65" ht="14.25" customHeight="1" x14ac:dyDescent="0.25">
      <c r="A780" s="2"/>
      <c r="B780" s="2"/>
      <c r="C780" s="2"/>
      <c r="D780" s="2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3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</row>
    <row r="781" spans="1:65" ht="14.25" customHeight="1" x14ac:dyDescent="0.25">
      <c r="A781" s="2"/>
      <c r="B781" s="2"/>
      <c r="C781" s="2"/>
      <c r="D781" s="2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3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</row>
    <row r="782" spans="1:65" ht="14.25" customHeight="1" x14ac:dyDescent="0.25">
      <c r="A782" s="2"/>
      <c r="B782" s="2"/>
      <c r="C782" s="2"/>
      <c r="D782" s="2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3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</row>
    <row r="783" spans="1:65" ht="14.25" customHeight="1" x14ac:dyDescent="0.25">
      <c r="A783" s="2"/>
      <c r="B783" s="2"/>
      <c r="C783" s="2"/>
      <c r="D783" s="2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3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</row>
    <row r="784" spans="1:65" ht="14.25" customHeight="1" x14ac:dyDescent="0.25">
      <c r="A784" s="2"/>
      <c r="B784" s="2"/>
      <c r="C784" s="2"/>
      <c r="D784" s="2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3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</row>
    <row r="785" spans="1:65" ht="14.25" customHeight="1" x14ac:dyDescent="0.25">
      <c r="A785" s="2"/>
      <c r="B785" s="2"/>
      <c r="C785" s="2"/>
      <c r="D785" s="2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3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</row>
    <row r="786" spans="1:65" ht="14.25" customHeight="1" x14ac:dyDescent="0.25">
      <c r="A786" s="2"/>
      <c r="B786" s="2"/>
      <c r="C786" s="2"/>
      <c r="D786" s="2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3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</row>
    <row r="787" spans="1:65" ht="14.25" customHeight="1" x14ac:dyDescent="0.25">
      <c r="A787" s="2"/>
      <c r="B787" s="2"/>
      <c r="C787" s="2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3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</row>
    <row r="788" spans="1:65" ht="14.25" customHeight="1" x14ac:dyDescent="0.25">
      <c r="A788" s="2"/>
      <c r="B788" s="2"/>
      <c r="C788" s="2"/>
      <c r="D788" s="2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3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</row>
    <row r="789" spans="1:65" ht="14.25" customHeight="1" x14ac:dyDescent="0.25">
      <c r="A789" s="2"/>
      <c r="B789" s="2"/>
      <c r="C789" s="2"/>
      <c r="D789" s="2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3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</row>
    <row r="790" spans="1:65" ht="14.25" customHeight="1" x14ac:dyDescent="0.25">
      <c r="A790" s="2"/>
      <c r="B790" s="2"/>
      <c r="C790" s="2"/>
      <c r="D790" s="2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3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</row>
    <row r="791" spans="1:65" ht="14.25" customHeight="1" x14ac:dyDescent="0.25">
      <c r="A791" s="2"/>
      <c r="B791" s="2"/>
      <c r="C791" s="2"/>
      <c r="D791" s="2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3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</row>
    <row r="792" spans="1:65" ht="14.25" customHeight="1" x14ac:dyDescent="0.25">
      <c r="A792" s="2"/>
      <c r="B792" s="2"/>
      <c r="C792" s="2"/>
      <c r="D792" s="2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3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</row>
    <row r="793" spans="1:65" ht="14.25" customHeight="1" x14ac:dyDescent="0.25">
      <c r="A793" s="2"/>
      <c r="B793" s="2"/>
      <c r="C793" s="2"/>
      <c r="D793" s="2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3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</row>
    <row r="794" spans="1:65" ht="14.25" customHeight="1" x14ac:dyDescent="0.25">
      <c r="A794" s="2"/>
      <c r="B794" s="2"/>
      <c r="C794" s="2"/>
      <c r="D794" s="2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3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</row>
    <row r="795" spans="1:65" ht="14.25" customHeight="1" x14ac:dyDescent="0.25">
      <c r="A795" s="2"/>
      <c r="B795" s="2"/>
      <c r="C795" s="2"/>
      <c r="D795" s="2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3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</row>
    <row r="796" spans="1:65" ht="14.25" customHeight="1" x14ac:dyDescent="0.25">
      <c r="A796" s="2"/>
      <c r="B796" s="2"/>
      <c r="C796" s="2"/>
      <c r="D796" s="2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3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</row>
    <row r="797" spans="1:65" ht="14.25" customHeight="1" x14ac:dyDescent="0.25">
      <c r="A797" s="2"/>
      <c r="B797" s="2"/>
      <c r="C797" s="2"/>
      <c r="D797" s="2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3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</row>
    <row r="798" spans="1:65" ht="14.25" customHeight="1" x14ac:dyDescent="0.25">
      <c r="A798" s="2"/>
      <c r="B798" s="2"/>
      <c r="C798" s="2"/>
      <c r="D798" s="2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3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</row>
    <row r="799" spans="1:65" ht="14.25" customHeight="1" x14ac:dyDescent="0.25">
      <c r="A799" s="2"/>
      <c r="B799" s="2"/>
      <c r="C799" s="2"/>
      <c r="D799" s="2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3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</row>
    <row r="800" spans="1:65" ht="14.25" customHeight="1" x14ac:dyDescent="0.25">
      <c r="A800" s="2"/>
      <c r="B800" s="2"/>
      <c r="C800" s="2"/>
      <c r="D800" s="2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3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</row>
    <row r="801" spans="1:65" ht="14.25" customHeight="1" x14ac:dyDescent="0.25">
      <c r="A801" s="2"/>
      <c r="B801" s="2"/>
      <c r="C801" s="2"/>
      <c r="D801" s="2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3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</row>
    <row r="802" spans="1:65" ht="14.25" customHeight="1" x14ac:dyDescent="0.25">
      <c r="A802" s="2"/>
      <c r="B802" s="2"/>
      <c r="C802" s="2"/>
      <c r="D802" s="2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3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</row>
    <row r="803" spans="1:65" ht="14.25" customHeight="1" x14ac:dyDescent="0.25">
      <c r="A803" s="2"/>
      <c r="B803" s="2"/>
      <c r="C803" s="2"/>
      <c r="D803" s="2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3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</row>
    <row r="804" spans="1:65" ht="14.25" customHeight="1" x14ac:dyDescent="0.25">
      <c r="A804" s="2"/>
      <c r="B804" s="2"/>
      <c r="C804" s="2"/>
      <c r="D804" s="2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3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</row>
    <row r="805" spans="1:65" ht="14.25" customHeight="1" x14ac:dyDescent="0.25">
      <c r="A805" s="2"/>
      <c r="B805" s="2"/>
      <c r="C805" s="2"/>
      <c r="D805" s="2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3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</row>
    <row r="806" spans="1:65" ht="14.25" customHeight="1" x14ac:dyDescent="0.25">
      <c r="A806" s="2"/>
      <c r="B806" s="2"/>
      <c r="C806" s="2"/>
      <c r="D806" s="2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3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</row>
    <row r="807" spans="1:65" ht="14.25" customHeight="1" x14ac:dyDescent="0.25">
      <c r="A807" s="2"/>
      <c r="B807" s="2"/>
      <c r="C807" s="2"/>
      <c r="D807" s="2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3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</row>
    <row r="808" spans="1:65" ht="14.25" customHeight="1" x14ac:dyDescent="0.25">
      <c r="A808" s="2"/>
      <c r="B808" s="2"/>
      <c r="C808" s="2"/>
      <c r="D808" s="2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3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</row>
    <row r="809" spans="1:65" ht="14.25" customHeight="1" x14ac:dyDescent="0.25">
      <c r="A809" s="2"/>
      <c r="B809" s="2"/>
      <c r="C809" s="2"/>
      <c r="D809" s="2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3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</row>
    <row r="810" spans="1:65" ht="14.25" customHeight="1" x14ac:dyDescent="0.25">
      <c r="A810" s="2"/>
      <c r="B810" s="2"/>
      <c r="C810" s="2"/>
      <c r="D810" s="2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3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</row>
    <row r="811" spans="1:65" ht="14.25" customHeight="1" x14ac:dyDescent="0.25">
      <c r="A811" s="2"/>
      <c r="B811" s="2"/>
      <c r="C811" s="2"/>
      <c r="D811" s="2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3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</row>
    <row r="812" spans="1:65" ht="14.25" customHeight="1" x14ac:dyDescent="0.25">
      <c r="A812" s="2"/>
      <c r="B812" s="2"/>
      <c r="C812" s="2"/>
      <c r="D812" s="2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3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</row>
    <row r="813" spans="1:65" ht="14.25" customHeight="1" x14ac:dyDescent="0.25">
      <c r="A813" s="2"/>
      <c r="B813" s="2"/>
      <c r="C813" s="2"/>
      <c r="D813" s="2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3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</row>
    <row r="814" spans="1:65" ht="14.25" customHeight="1" x14ac:dyDescent="0.25">
      <c r="A814" s="2"/>
      <c r="B814" s="2"/>
      <c r="C814" s="2"/>
      <c r="D814" s="2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3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</row>
    <row r="815" spans="1:65" ht="14.25" customHeight="1" x14ac:dyDescent="0.25">
      <c r="A815" s="2"/>
      <c r="B815" s="2"/>
      <c r="C815" s="2"/>
      <c r="D815" s="2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3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</row>
    <row r="816" spans="1:65" ht="14.25" customHeight="1" x14ac:dyDescent="0.25">
      <c r="A816" s="2"/>
      <c r="B816" s="2"/>
      <c r="C816" s="2"/>
      <c r="D816" s="2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3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</row>
    <row r="817" spans="1:65" ht="14.25" customHeight="1" x14ac:dyDescent="0.25">
      <c r="A817" s="2"/>
      <c r="B817" s="2"/>
      <c r="C817" s="2"/>
      <c r="D817" s="2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3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</row>
    <row r="818" spans="1:65" ht="14.25" customHeight="1" x14ac:dyDescent="0.25">
      <c r="A818" s="2"/>
      <c r="B818" s="2"/>
      <c r="C818" s="2"/>
      <c r="D818" s="2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3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</row>
    <row r="819" spans="1:65" ht="14.25" customHeight="1" x14ac:dyDescent="0.25">
      <c r="A819" s="2"/>
      <c r="B819" s="2"/>
      <c r="C819" s="2"/>
      <c r="D819" s="2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3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</row>
    <row r="820" spans="1:65" ht="14.25" customHeight="1" x14ac:dyDescent="0.25">
      <c r="A820" s="2"/>
      <c r="B820" s="2"/>
      <c r="C820" s="2"/>
      <c r="D820" s="2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3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</row>
    <row r="821" spans="1:65" ht="14.25" customHeight="1" x14ac:dyDescent="0.25">
      <c r="A821" s="2"/>
      <c r="B821" s="2"/>
      <c r="C821" s="2"/>
      <c r="D821" s="2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3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</row>
    <row r="822" spans="1:65" ht="14.25" customHeight="1" x14ac:dyDescent="0.25">
      <c r="A822" s="2"/>
      <c r="B822" s="2"/>
      <c r="C822" s="2"/>
      <c r="D822" s="2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3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</row>
    <row r="823" spans="1:65" ht="14.25" customHeight="1" x14ac:dyDescent="0.25">
      <c r="A823" s="2"/>
      <c r="B823" s="2"/>
      <c r="C823" s="2"/>
      <c r="D823" s="2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3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</row>
    <row r="824" spans="1:65" ht="14.25" customHeight="1" x14ac:dyDescent="0.25">
      <c r="A824" s="2"/>
      <c r="B824" s="2"/>
      <c r="C824" s="2"/>
      <c r="D824" s="2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3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</row>
    <row r="825" spans="1:65" ht="14.25" customHeight="1" x14ac:dyDescent="0.25">
      <c r="A825" s="2"/>
      <c r="B825" s="2"/>
      <c r="C825" s="2"/>
      <c r="D825" s="2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3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</row>
    <row r="826" spans="1:65" ht="14.25" customHeight="1" x14ac:dyDescent="0.25">
      <c r="A826" s="2"/>
      <c r="B826" s="2"/>
      <c r="C826" s="2"/>
      <c r="D826" s="2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3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</row>
    <row r="827" spans="1:65" ht="14.25" customHeight="1" x14ac:dyDescent="0.25">
      <c r="A827" s="2"/>
      <c r="B827" s="2"/>
      <c r="C827" s="2"/>
      <c r="D827" s="2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3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</row>
    <row r="828" spans="1:65" ht="14.25" customHeight="1" x14ac:dyDescent="0.25">
      <c r="A828" s="2"/>
      <c r="B828" s="2"/>
      <c r="C828" s="2"/>
      <c r="D828" s="2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3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</row>
    <row r="829" spans="1:65" ht="14.25" customHeight="1" x14ac:dyDescent="0.25">
      <c r="A829" s="2"/>
      <c r="B829" s="2"/>
      <c r="C829" s="2"/>
      <c r="D829" s="2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3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</row>
    <row r="830" spans="1:65" ht="14.25" customHeight="1" x14ac:dyDescent="0.25">
      <c r="A830" s="2"/>
      <c r="B830" s="2"/>
      <c r="C830" s="2"/>
      <c r="D830" s="2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3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</row>
    <row r="831" spans="1:65" ht="14.25" customHeight="1" x14ac:dyDescent="0.25">
      <c r="A831" s="2"/>
      <c r="B831" s="2"/>
      <c r="C831" s="2"/>
      <c r="D831" s="2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3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</row>
    <row r="832" spans="1:65" ht="14.25" customHeight="1" x14ac:dyDescent="0.25">
      <c r="A832" s="2"/>
      <c r="B832" s="2"/>
      <c r="C832" s="2"/>
      <c r="D832" s="2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3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</row>
    <row r="833" spans="1:65" ht="14.25" customHeight="1" x14ac:dyDescent="0.25">
      <c r="A833" s="2"/>
      <c r="B833" s="2"/>
      <c r="C833" s="2"/>
      <c r="D833" s="2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3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</row>
    <row r="834" spans="1:65" ht="14.25" customHeight="1" x14ac:dyDescent="0.25">
      <c r="A834" s="2"/>
      <c r="B834" s="2"/>
      <c r="C834" s="2"/>
      <c r="D834" s="2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3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</row>
    <row r="835" spans="1:65" ht="14.25" customHeight="1" x14ac:dyDescent="0.25">
      <c r="A835" s="2"/>
      <c r="B835" s="2"/>
      <c r="C835" s="2"/>
      <c r="D835" s="2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3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</row>
    <row r="836" spans="1:65" ht="14.25" customHeight="1" x14ac:dyDescent="0.25">
      <c r="A836" s="2"/>
      <c r="B836" s="2"/>
      <c r="C836" s="2"/>
      <c r="D836" s="2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3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</row>
    <row r="837" spans="1:65" ht="14.25" customHeight="1" x14ac:dyDescent="0.25">
      <c r="A837" s="2"/>
      <c r="B837" s="2"/>
      <c r="C837" s="2"/>
      <c r="D837" s="2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3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</row>
    <row r="838" spans="1:65" ht="14.25" customHeight="1" x14ac:dyDescent="0.25">
      <c r="A838" s="2"/>
      <c r="B838" s="2"/>
      <c r="C838" s="2"/>
      <c r="D838" s="2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3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</row>
    <row r="839" spans="1:65" ht="14.25" customHeight="1" x14ac:dyDescent="0.25">
      <c r="A839" s="2"/>
      <c r="B839" s="2"/>
      <c r="C839" s="2"/>
      <c r="D839" s="2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3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</row>
    <row r="840" spans="1:65" ht="14.25" customHeight="1" x14ac:dyDescent="0.25">
      <c r="A840" s="2"/>
      <c r="B840" s="2"/>
      <c r="C840" s="2"/>
      <c r="D840" s="2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3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</row>
    <row r="841" spans="1:65" ht="14.25" customHeight="1" x14ac:dyDescent="0.25">
      <c r="A841" s="2"/>
      <c r="B841" s="2"/>
      <c r="C841" s="2"/>
      <c r="D841" s="2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3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</row>
    <row r="842" spans="1:65" ht="14.25" customHeight="1" x14ac:dyDescent="0.25">
      <c r="A842" s="2"/>
      <c r="B842" s="2"/>
      <c r="C842" s="2"/>
      <c r="D842" s="2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3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</row>
    <row r="843" spans="1:65" ht="14.25" customHeight="1" x14ac:dyDescent="0.25">
      <c r="A843" s="2"/>
      <c r="B843" s="2"/>
      <c r="C843" s="2"/>
      <c r="D843" s="2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3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</row>
    <row r="844" spans="1:65" ht="14.25" customHeight="1" x14ac:dyDescent="0.25">
      <c r="A844" s="2"/>
      <c r="B844" s="2"/>
      <c r="C844" s="2"/>
      <c r="D844" s="2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3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</row>
    <row r="845" spans="1:65" ht="14.25" customHeight="1" x14ac:dyDescent="0.25">
      <c r="A845" s="2"/>
      <c r="B845" s="2"/>
      <c r="C845" s="2"/>
      <c r="D845" s="2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3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</row>
    <row r="846" spans="1:65" ht="14.25" customHeight="1" x14ac:dyDescent="0.25">
      <c r="A846" s="2"/>
      <c r="B846" s="2"/>
      <c r="C846" s="2"/>
      <c r="D846" s="2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3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</row>
    <row r="847" spans="1:65" ht="14.25" customHeight="1" x14ac:dyDescent="0.25">
      <c r="A847" s="2"/>
      <c r="B847" s="2"/>
      <c r="C847" s="2"/>
      <c r="D847" s="2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3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</row>
    <row r="848" spans="1:65" ht="14.25" customHeight="1" x14ac:dyDescent="0.25">
      <c r="A848" s="2"/>
      <c r="B848" s="2"/>
      <c r="C848" s="2"/>
      <c r="D848" s="2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3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</row>
    <row r="849" spans="1:65" ht="14.25" customHeight="1" x14ac:dyDescent="0.25">
      <c r="A849" s="2"/>
      <c r="B849" s="2"/>
      <c r="C849" s="2"/>
      <c r="D849" s="2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3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</row>
    <row r="850" spans="1:65" ht="14.25" customHeight="1" x14ac:dyDescent="0.25">
      <c r="A850" s="2"/>
      <c r="B850" s="2"/>
      <c r="C850" s="2"/>
      <c r="D850" s="2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3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</row>
    <row r="851" spans="1:65" ht="14.25" customHeight="1" x14ac:dyDescent="0.25">
      <c r="A851" s="2"/>
      <c r="B851" s="2"/>
      <c r="C851" s="2"/>
      <c r="D851" s="2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3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</row>
    <row r="852" spans="1:65" ht="14.25" customHeight="1" x14ac:dyDescent="0.25">
      <c r="A852" s="2"/>
      <c r="B852" s="2"/>
      <c r="C852" s="2"/>
      <c r="D852" s="2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3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</row>
    <row r="853" spans="1:65" ht="14.25" customHeight="1" x14ac:dyDescent="0.25">
      <c r="A853" s="2"/>
      <c r="B853" s="2"/>
      <c r="C853" s="2"/>
      <c r="D853" s="2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3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</row>
    <row r="854" spans="1:65" ht="14.25" customHeight="1" x14ac:dyDescent="0.25">
      <c r="A854" s="2"/>
      <c r="B854" s="2"/>
      <c r="C854" s="2"/>
      <c r="D854" s="2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3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</row>
    <row r="855" spans="1:65" ht="14.25" customHeight="1" x14ac:dyDescent="0.25">
      <c r="A855" s="2"/>
      <c r="B855" s="2"/>
      <c r="C855" s="2"/>
      <c r="D855" s="2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3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</row>
    <row r="856" spans="1:65" ht="14.25" customHeight="1" x14ac:dyDescent="0.25">
      <c r="A856" s="2"/>
      <c r="B856" s="2"/>
      <c r="C856" s="2"/>
      <c r="D856" s="2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3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</row>
    <row r="857" spans="1:65" ht="14.25" customHeight="1" x14ac:dyDescent="0.25">
      <c r="A857" s="2"/>
      <c r="B857" s="2"/>
      <c r="C857" s="2"/>
      <c r="D857" s="2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3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</row>
    <row r="858" spans="1:65" ht="14.25" customHeight="1" x14ac:dyDescent="0.25">
      <c r="A858" s="2"/>
      <c r="B858" s="2"/>
      <c r="C858" s="2"/>
      <c r="D858" s="2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3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</row>
    <row r="859" spans="1:65" ht="14.25" customHeight="1" x14ac:dyDescent="0.25">
      <c r="A859" s="2"/>
      <c r="B859" s="2"/>
      <c r="C859" s="2"/>
      <c r="D859" s="2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3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</row>
    <row r="860" spans="1:65" ht="14.25" customHeight="1" x14ac:dyDescent="0.25">
      <c r="A860" s="2"/>
      <c r="B860" s="2"/>
      <c r="C860" s="2"/>
      <c r="D860" s="2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3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</row>
    <row r="861" spans="1:65" ht="14.25" customHeight="1" x14ac:dyDescent="0.25">
      <c r="A861" s="2"/>
      <c r="B861" s="2"/>
      <c r="C861" s="2"/>
      <c r="D861" s="2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3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</row>
    <row r="862" spans="1:65" ht="14.25" customHeight="1" x14ac:dyDescent="0.25">
      <c r="A862" s="2"/>
      <c r="B862" s="2"/>
      <c r="C862" s="2"/>
      <c r="D862" s="2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3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</row>
    <row r="863" spans="1:65" ht="14.25" customHeight="1" x14ac:dyDescent="0.25">
      <c r="A863" s="2"/>
      <c r="B863" s="2"/>
      <c r="C863" s="2"/>
      <c r="D863" s="2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3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</row>
    <row r="864" spans="1:65" ht="14.25" customHeight="1" x14ac:dyDescent="0.25">
      <c r="A864" s="2"/>
      <c r="B864" s="2"/>
      <c r="C864" s="2"/>
      <c r="D864" s="2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3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</row>
    <row r="865" spans="1:65" ht="14.25" customHeight="1" x14ac:dyDescent="0.25">
      <c r="A865" s="2"/>
      <c r="B865" s="2"/>
      <c r="C865" s="2"/>
      <c r="D865" s="2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3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</row>
    <row r="866" spans="1:65" ht="14.25" customHeight="1" x14ac:dyDescent="0.25">
      <c r="A866" s="2"/>
      <c r="B866" s="2"/>
      <c r="C866" s="2"/>
      <c r="D866" s="2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3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</row>
    <row r="867" spans="1:65" ht="14.25" customHeight="1" x14ac:dyDescent="0.25">
      <c r="A867" s="2"/>
      <c r="B867" s="2"/>
      <c r="C867" s="2"/>
      <c r="D867" s="2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3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</row>
    <row r="868" spans="1:65" ht="14.25" customHeight="1" x14ac:dyDescent="0.25">
      <c r="A868" s="2"/>
      <c r="B868" s="2"/>
      <c r="C868" s="2"/>
      <c r="D868" s="2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3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</row>
    <row r="869" spans="1:65" ht="14.25" customHeight="1" x14ac:dyDescent="0.25">
      <c r="A869" s="2"/>
      <c r="B869" s="2"/>
      <c r="C869" s="2"/>
      <c r="D869" s="2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3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</row>
    <row r="870" spans="1:65" ht="14.25" customHeight="1" x14ac:dyDescent="0.25">
      <c r="A870" s="2"/>
      <c r="B870" s="2"/>
      <c r="C870" s="2"/>
      <c r="D870" s="2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3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</row>
    <row r="871" spans="1:65" ht="14.25" customHeight="1" x14ac:dyDescent="0.25">
      <c r="A871" s="2"/>
      <c r="B871" s="2"/>
      <c r="C871" s="2"/>
      <c r="D871" s="2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3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</row>
    <row r="872" spans="1:65" ht="14.25" customHeight="1" x14ac:dyDescent="0.25">
      <c r="A872" s="2"/>
      <c r="B872" s="2"/>
      <c r="C872" s="2"/>
      <c r="D872" s="2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3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</row>
    <row r="873" spans="1:65" ht="14.25" customHeight="1" x14ac:dyDescent="0.25">
      <c r="A873" s="2"/>
      <c r="B873" s="2"/>
      <c r="C873" s="2"/>
      <c r="D873" s="2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3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</row>
    <row r="874" spans="1:65" ht="14.25" customHeight="1" x14ac:dyDescent="0.25">
      <c r="A874" s="2"/>
      <c r="B874" s="2"/>
      <c r="C874" s="2"/>
      <c r="D874" s="2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3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</row>
    <row r="875" spans="1:65" ht="14.25" customHeight="1" x14ac:dyDescent="0.25">
      <c r="A875" s="2"/>
      <c r="B875" s="2"/>
      <c r="C875" s="2"/>
      <c r="D875" s="2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3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</row>
    <row r="876" spans="1:65" ht="14.25" customHeight="1" x14ac:dyDescent="0.25">
      <c r="A876" s="2"/>
      <c r="B876" s="2"/>
      <c r="C876" s="2"/>
      <c r="D876" s="2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3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</row>
    <row r="877" spans="1:65" ht="14.25" customHeight="1" x14ac:dyDescent="0.25">
      <c r="A877" s="2"/>
      <c r="B877" s="2"/>
      <c r="C877" s="2"/>
      <c r="D877" s="2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3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</row>
    <row r="878" spans="1:65" ht="14.25" customHeight="1" x14ac:dyDescent="0.25">
      <c r="A878" s="2"/>
      <c r="B878" s="2"/>
      <c r="C878" s="2"/>
      <c r="D878" s="2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3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</row>
    <row r="879" spans="1:65" ht="14.25" customHeight="1" x14ac:dyDescent="0.25">
      <c r="A879" s="2"/>
      <c r="B879" s="2"/>
      <c r="C879" s="2"/>
      <c r="D879" s="2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3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</row>
    <row r="880" spans="1:65" ht="14.25" customHeight="1" x14ac:dyDescent="0.25">
      <c r="A880" s="2"/>
      <c r="B880" s="2"/>
      <c r="C880" s="2"/>
      <c r="D880" s="2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3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</row>
    <row r="881" spans="1:65" ht="14.25" customHeight="1" x14ac:dyDescent="0.25">
      <c r="A881" s="2"/>
      <c r="B881" s="2"/>
      <c r="C881" s="2"/>
      <c r="D881" s="2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3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</row>
    <row r="882" spans="1:65" ht="14.25" customHeight="1" x14ac:dyDescent="0.25">
      <c r="A882" s="2"/>
      <c r="B882" s="2"/>
      <c r="C882" s="2"/>
      <c r="D882" s="2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3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</row>
    <row r="883" spans="1:65" ht="14.25" customHeight="1" x14ac:dyDescent="0.25">
      <c r="A883" s="2"/>
      <c r="B883" s="2"/>
      <c r="C883" s="2"/>
      <c r="D883" s="2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3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</row>
    <row r="884" spans="1:65" ht="14.25" customHeight="1" x14ac:dyDescent="0.25">
      <c r="A884" s="2"/>
      <c r="B884" s="2"/>
      <c r="C884" s="2"/>
      <c r="D884" s="2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3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</row>
    <row r="885" spans="1:65" ht="14.25" customHeight="1" x14ac:dyDescent="0.25">
      <c r="A885" s="2"/>
      <c r="B885" s="2"/>
      <c r="C885" s="2"/>
      <c r="D885" s="2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3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</row>
    <row r="886" spans="1:65" ht="14.25" customHeight="1" x14ac:dyDescent="0.25">
      <c r="A886" s="2"/>
      <c r="B886" s="2"/>
      <c r="C886" s="2"/>
      <c r="D886" s="2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3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</row>
    <row r="887" spans="1:65" ht="14.25" customHeight="1" x14ac:dyDescent="0.25">
      <c r="A887" s="2"/>
      <c r="B887" s="2"/>
      <c r="C887" s="2"/>
      <c r="D887" s="2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3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</row>
    <row r="888" spans="1:65" ht="14.25" customHeight="1" x14ac:dyDescent="0.25">
      <c r="A888" s="2"/>
      <c r="B888" s="2"/>
      <c r="C888" s="2"/>
      <c r="D888" s="2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3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</row>
    <row r="889" spans="1:65" ht="14.25" customHeight="1" x14ac:dyDescent="0.25">
      <c r="A889" s="2"/>
      <c r="B889" s="2"/>
      <c r="C889" s="2"/>
      <c r="D889" s="2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3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</row>
    <row r="890" spans="1:65" ht="14.25" customHeight="1" x14ac:dyDescent="0.25">
      <c r="A890" s="2"/>
      <c r="B890" s="2"/>
      <c r="C890" s="2"/>
      <c r="D890" s="2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3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</row>
    <row r="891" spans="1:65" ht="14.25" customHeight="1" x14ac:dyDescent="0.25">
      <c r="A891" s="2"/>
      <c r="B891" s="2"/>
      <c r="C891" s="2"/>
      <c r="D891" s="2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3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</row>
    <row r="892" spans="1:65" ht="14.25" customHeight="1" x14ac:dyDescent="0.25">
      <c r="A892" s="2"/>
      <c r="B892" s="2"/>
      <c r="C892" s="2"/>
      <c r="D892" s="2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3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</row>
    <row r="893" spans="1:65" ht="14.25" customHeight="1" x14ac:dyDescent="0.25">
      <c r="A893" s="2"/>
      <c r="B893" s="2"/>
      <c r="C893" s="2"/>
      <c r="D893" s="2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3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</row>
    <row r="894" spans="1:65" ht="14.25" customHeight="1" x14ac:dyDescent="0.25">
      <c r="A894" s="2"/>
      <c r="B894" s="2"/>
      <c r="C894" s="2"/>
      <c r="D894" s="2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3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</row>
    <row r="895" spans="1:65" ht="14.25" customHeight="1" x14ac:dyDescent="0.25">
      <c r="A895" s="2"/>
      <c r="B895" s="2"/>
      <c r="C895" s="2"/>
      <c r="D895" s="2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3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</row>
    <row r="896" spans="1:65" ht="14.25" customHeight="1" x14ac:dyDescent="0.25">
      <c r="A896" s="2"/>
      <c r="B896" s="2"/>
      <c r="C896" s="2"/>
      <c r="D896" s="2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3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</row>
    <row r="897" spans="1:65" ht="14.25" customHeight="1" x14ac:dyDescent="0.25">
      <c r="A897" s="2"/>
      <c r="B897" s="2"/>
      <c r="C897" s="2"/>
      <c r="D897" s="2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3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</row>
    <row r="898" spans="1:65" ht="14.25" customHeight="1" x14ac:dyDescent="0.25">
      <c r="A898" s="2"/>
      <c r="B898" s="2"/>
      <c r="C898" s="2"/>
      <c r="D898" s="2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3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</row>
    <row r="899" spans="1:65" ht="14.25" customHeight="1" x14ac:dyDescent="0.25">
      <c r="A899" s="2"/>
      <c r="B899" s="2"/>
      <c r="C899" s="2"/>
      <c r="D899" s="2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3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</row>
    <row r="900" spans="1:65" ht="14.25" customHeight="1" x14ac:dyDescent="0.25">
      <c r="A900" s="2"/>
      <c r="B900" s="2"/>
      <c r="C900" s="2"/>
      <c r="D900" s="2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3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</row>
    <row r="901" spans="1:65" ht="14.25" customHeight="1" x14ac:dyDescent="0.25">
      <c r="A901" s="2"/>
      <c r="B901" s="2"/>
      <c r="C901" s="2"/>
      <c r="D901" s="2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3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</row>
    <row r="902" spans="1:65" ht="14.25" customHeight="1" x14ac:dyDescent="0.25">
      <c r="A902" s="2"/>
      <c r="B902" s="2"/>
      <c r="C902" s="2"/>
      <c r="D902" s="2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3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</row>
    <row r="903" spans="1:65" ht="14.25" customHeight="1" x14ac:dyDescent="0.25">
      <c r="A903" s="2"/>
      <c r="B903" s="2"/>
      <c r="C903" s="2"/>
      <c r="D903" s="2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3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</row>
    <row r="904" spans="1:65" ht="14.25" customHeight="1" x14ac:dyDescent="0.25">
      <c r="A904" s="2"/>
      <c r="B904" s="2"/>
      <c r="C904" s="2"/>
      <c r="D904" s="2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3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</row>
    <row r="905" spans="1:65" ht="14.25" customHeight="1" x14ac:dyDescent="0.25">
      <c r="A905" s="2"/>
      <c r="B905" s="2"/>
      <c r="C905" s="2"/>
      <c r="D905" s="2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3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</row>
    <row r="906" spans="1:65" ht="14.25" customHeight="1" x14ac:dyDescent="0.25">
      <c r="A906" s="2"/>
      <c r="B906" s="2"/>
      <c r="C906" s="2"/>
      <c r="D906" s="2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3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</row>
    <row r="907" spans="1:65" ht="14.25" customHeight="1" x14ac:dyDescent="0.25">
      <c r="A907" s="2"/>
      <c r="B907" s="2"/>
      <c r="C907" s="2"/>
      <c r="D907" s="2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3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</row>
    <row r="908" spans="1:65" ht="14.25" customHeight="1" x14ac:dyDescent="0.25">
      <c r="A908" s="2"/>
      <c r="B908" s="2"/>
      <c r="C908" s="2"/>
      <c r="D908" s="2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3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</row>
    <row r="909" spans="1:65" ht="14.25" customHeight="1" x14ac:dyDescent="0.25">
      <c r="A909" s="2"/>
      <c r="B909" s="2"/>
      <c r="C909" s="2"/>
      <c r="D909" s="2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3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</row>
    <row r="910" spans="1:65" ht="14.25" customHeight="1" x14ac:dyDescent="0.25">
      <c r="A910" s="2"/>
      <c r="B910" s="2"/>
      <c r="C910" s="2"/>
      <c r="D910" s="2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3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</row>
    <row r="911" spans="1:65" ht="14.25" customHeight="1" x14ac:dyDescent="0.25">
      <c r="A911" s="2"/>
      <c r="B911" s="2"/>
      <c r="C911" s="2"/>
      <c r="D911" s="2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3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</row>
    <row r="912" spans="1:65" ht="14.25" customHeight="1" x14ac:dyDescent="0.25">
      <c r="A912" s="2"/>
      <c r="B912" s="2"/>
      <c r="C912" s="2"/>
      <c r="D912" s="2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3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</row>
    <row r="913" spans="1:65" ht="14.25" customHeight="1" x14ac:dyDescent="0.25">
      <c r="A913" s="2"/>
      <c r="B913" s="2"/>
      <c r="C913" s="2"/>
      <c r="D913" s="2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3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</row>
    <row r="914" spans="1:65" ht="14.25" customHeight="1" x14ac:dyDescent="0.25">
      <c r="A914" s="2"/>
      <c r="B914" s="2"/>
      <c r="C914" s="2"/>
      <c r="D914" s="2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3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</row>
    <row r="915" spans="1:65" ht="14.25" customHeight="1" x14ac:dyDescent="0.25">
      <c r="A915" s="2"/>
      <c r="B915" s="2"/>
      <c r="C915" s="2"/>
      <c r="D915" s="2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3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</row>
    <row r="916" spans="1:65" ht="14.25" customHeight="1" x14ac:dyDescent="0.25">
      <c r="A916" s="2"/>
      <c r="B916" s="2"/>
      <c r="C916" s="2"/>
      <c r="D916" s="2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3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</row>
    <row r="917" spans="1:65" ht="14.25" customHeight="1" x14ac:dyDescent="0.25">
      <c r="A917" s="2"/>
      <c r="B917" s="2"/>
      <c r="C917" s="2"/>
      <c r="D917" s="2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3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</row>
    <row r="918" spans="1:65" ht="14.25" customHeight="1" x14ac:dyDescent="0.25">
      <c r="A918" s="2"/>
      <c r="B918" s="2"/>
      <c r="C918" s="2"/>
      <c r="D918" s="2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3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</row>
    <row r="919" spans="1:65" ht="14.25" customHeight="1" x14ac:dyDescent="0.25">
      <c r="A919" s="2"/>
      <c r="B919" s="2"/>
      <c r="C919" s="2"/>
      <c r="D919" s="2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3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</row>
    <row r="920" spans="1:65" ht="14.25" customHeight="1" x14ac:dyDescent="0.25">
      <c r="A920" s="2"/>
      <c r="B920" s="2"/>
      <c r="C920" s="2"/>
      <c r="D920" s="2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3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</row>
    <row r="921" spans="1:65" ht="14.25" customHeight="1" x14ac:dyDescent="0.25">
      <c r="A921" s="2"/>
      <c r="B921" s="2"/>
      <c r="C921" s="2"/>
      <c r="D921" s="2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3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</row>
    <row r="922" spans="1:65" ht="14.25" customHeight="1" x14ac:dyDescent="0.25">
      <c r="A922" s="2"/>
      <c r="B922" s="2"/>
      <c r="C922" s="2"/>
      <c r="D922" s="2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3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</row>
    <row r="923" spans="1:65" ht="14.25" customHeight="1" x14ac:dyDescent="0.25">
      <c r="A923" s="2"/>
      <c r="B923" s="2"/>
      <c r="C923" s="2"/>
      <c r="D923" s="2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3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</row>
    <row r="924" spans="1:65" ht="14.25" customHeight="1" x14ac:dyDescent="0.25">
      <c r="A924" s="2"/>
      <c r="B924" s="2"/>
      <c r="C924" s="2"/>
      <c r="D924" s="2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3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</row>
    <row r="925" spans="1:65" ht="14.25" customHeight="1" x14ac:dyDescent="0.25">
      <c r="A925" s="2"/>
      <c r="B925" s="2"/>
      <c r="C925" s="2"/>
      <c r="D925" s="2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3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</row>
    <row r="926" spans="1:65" ht="14.25" customHeight="1" x14ac:dyDescent="0.25">
      <c r="A926" s="2"/>
      <c r="B926" s="2"/>
      <c r="C926" s="2"/>
      <c r="D926" s="2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3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</row>
    <row r="927" spans="1:65" ht="14.25" customHeight="1" x14ac:dyDescent="0.25">
      <c r="A927" s="2"/>
      <c r="B927" s="2"/>
      <c r="C927" s="2"/>
      <c r="D927" s="2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3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</row>
    <row r="928" spans="1:65" ht="14.25" customHeight="1" x14ac:dyDescent="0.25">
      <c r="A928" s="2"/>
      <c r="B928" s="2"/>
      <c r="C928" s="2"/>
      <c r="D928" s="2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3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</row>
    <row r="929" spans="1:65" ht="14.25" customHeight="1" x14ac:dyDescent="0.25">
      <c r="A929" s="2"/>
      <c r="B929" s="2"/>
      <c r="C929" s="2"/>
      <c r="D929" s="2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3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</row>
    <row r="930" spans="1:65" ht="14.25" customHeight="1" x14ac:dyDescent="0.25">
      <c r="A930" s="2"/>
      <c r="B930" s="2"/>
      <c r="C930" s="2"/>
      <c r="D930" s="2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3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</row>
    <row r="931" spans="1:65" ht="14.25" customHeight="1" x14ac:dyDescent="0.25">
      <c r="A931" s="2"/>
      <c r="B931" s="2"/>
      <c r="C931" s="2"/>
      <c r="D931" s="2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3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</row>
    <row r="932" spans="1:65" ht="14.25" customHeight="1" x14ac:dyDescent="0.25">
      <c r="A932" s="2"/>
      <c r="B932" s="2"/>
      <c r="C932" s="2"/>
      <c r="D932" s="2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3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</row>
    <row r="933" spans="1:65" ht="14.25" customHeight="1" x14ac:dyDescent="0.25">
      <c r="A933" s="2"/>
      <c r="B933" s="2"/>
      <c r="C933" s="2"/>
      <c r="D933" s="2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3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</row>
    <row r="934" spans="1:65" ht="14.25" customHeight="1" x14ac:dyDescent="0.25">
      <c r="A934" s="2"/>
      <c r="B934" s="2"/>
      <c r="C934" s="2"/>
      <c r="D934" s="2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3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</row>
    <row r="935" spans="1:65" ht="14.25" customHeight="1" x14ac:dyDescent="0.25">
      <c r="A935" s="2"/>
      <c r="B935" s="2"/>
      <c r="C935" s="2"/>
      <c r="D935" s="2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3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</row>
    <row r="936" spans="1:65" ht="14.25" customHeight="1" x14ac:dyDescent="0.25">
      <c r="A936" s="2"/>
      <c r="B936" s="2"/>
      <c r="C936" s="2"/>
      <c r="D936" s="2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3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</row>
    <row r="937" spans="1:65" ht="14.25" customHeight="1" x14ac:dyDescent="0.25">
      <c r="A937" s="2"/>
      <c r="B937" s="2"/>
      <c r="C937" s="2"/>
      <c r="D937" s="2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3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</row>
    <row r="938" spans="1:65" ht="14.25" customHeight="1" x14ac:dyDescent="0.25">
      <c r="A938" s="2"/>
      <c r="B938" s="2"/>
      <c r="C938" s="2"/>
      <c r="D938" s="2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3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</row>
    <row r="939" spans="1:65" ht="14.25" customHeight="1" x14ac:dyDescent="0.25">
      <c r="A939" s="2"/>
      <c r="B939" s="2"/>
      <c r="C939" s="2"/>
      <c r="D939" s="2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3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</row>
    <row r="940" spans="1:65" ht="14.25" customHeight="1" x14ac:dyDescent="0.25">
      <c r="A940" s="2"/>
      <c r="B940" s="2"/>
      <c r="C940" s="2"/>
      <c r="D940" s="2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3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</row>
    <row r="941" spans="1:65" ht="14.25" customHeight="1" x14ac:dyDescent="0.25">
      <c r="A941" s="2"/>
      <c r="B941" s="2"/>
      <c r="C941" s="2"/>
      <c r="D941" s="2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3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</row>
    <row r="942" spans="1:65" ht="14.25" customHeight="1" x14ac:dyDescent="0.25">
      <c r="A942" s="2"/>
      <c r="B942" s="2"/>
      <c r="C942" s="2"/>
      <c r="D942" s="2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3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</row>
    <row r="943" spans="1:65" ht="14.25" customHeight="1" x14ac:dyDescent="0.25">
      <c r="A943" s="2"/>
      <c r="B943" s="2"/>
      <c r="C943" s="2"/>
      <c r="D943" s="2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3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</row>
    <row r="944" spans="1:65" ht="14.25" customHeight="1" x14ac:dyDescent="0.25">
      <c r="A944" s="2"/>
      <c r="B944" s="2"/>
      <c r="C944" s="2"/>
      <c r="D944" s="2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3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</row>
    <row r="945" spans="1:65" ht="14.25" customHeight="1" x14ac:dyDescent="0.25">
      <c r="A945" s="2"/>
      <c r="B945" s="2"/>
      <c r="C945" s="2"/>
      <c r="D945" s="2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3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</row>
    <row r="946" spans="1:65" ht="14.25" customHeight="1" x14ac:dyDescent="0.25">
      <c r="A946" s="2"/>
      <c r="B946" s="2"/>
      <c r="C946" s="2"/>
      <c r="D946" s="2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3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</row>
    <row r="947" spans="1:65" ht="14.25" customHeight="1" x14ac:dyDescent="0.25">
      <c r="A947" s="2"/>
      <c r="B947" s="2"/>
      <c r="C947" s="2"/>
      <c r="D947" s="2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3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</row>
    <row r="948" spans="1:65" ht="14.25" customHeight="1" x14ac:dyDescent="0.25">
      <c r="A948" s="2"/>
      <c r="B948" s="2"/>
      <c r="C948" s="2"/>
      <c r="D948" s="2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3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</row>
    <row r="949" spans="1:65" ht="14.25" customHeight="1" x14ac:dyDescent="0.25">
      <c r="A949" s="2"/>
      <c r="B949" s="2"/>
      <c r="C949" s="2"/>
      <c r="D949" s="2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3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</row>
    <row r="950" spans="1:65" ht="14.25" customHeight="1" x14ac:dyDescent="0.25">
      <c r="A950" s="2"/>
      <c r="B950" s="2"/>
      <c r="C950" s="2"/>
      <c r="D950" s="2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3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</row>
    <row r="951" spans="1:65" ht="14.25" customHeight="1" x14ac:dyDescent="0.25">
      <c r="A951" s="2"/>
      <c r="B951" s="2"/>
      <c r="C951" s="2"/>
      <c r="D951" s="2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3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</row>
    <row r="952" spans="1:65" ht="14.25" customHeight="1" x14ac:dyDescent="0.25">
      <c r="A952" s="2"/>
      <c r="B952" s="2"/>
      <c r="C952" s="2"/>
      <c r="D952" s="2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3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</row>
    <row r="953" spans="1:65" ht="14.25" customHeight="1" x14ac:dyDescent="0.25">
      <c r="A953" s="2"/>
      <c r="B953" s="2"/>
      <c r="C953" s="2"/>
      <c r="D953" s="2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3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</row>
    <row r="954" spans="1:65" ht="14.25" customHeight="1" x14ac:dyDescent="0.25">
      <c r="A954" s="2"/>
      <c r="B954" s="2"/>
      <c r="C954" s="2"/>
      <c r="D954" s="2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3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</row>
    <row r="955" spans="1:65" ht="14.25" customHeight="1" x14ac:dyDescent="0.25">
      <c r="A955" s="2"/>
      <c r="B955" s="2"/>
      <c r="C955" s="2"/>
      <c r="D955" s="2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3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</row>
    <row r="956" spans="1:65" ht="14.25" customHeight="1" x14ac:dyDescent="0.25">
      <c r="A956" s="2"/>
      <c r="B956" s="2"/>
      <c r="C956" s="2"/>
      <c r="D956" s="2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3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</row>
    <row r="957" spans="1:65" ht="14.25" customHeight="1" x14ac:dyDescent="0.25">
      <c r="A957" s="2"/>
      <c r="B957" s="2"/>
      <c r="C957" s="2"/>
      <c r="D957" s="2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3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</row>
    <row r="958" spans="1:65" ht="14.25" customHeight="1" x14ac:dyDescent="0.25">
      <c r="A958" s="2"/>
      <c r="B958" s="2"/>
      <c r="C958" s="2"/>
      <c r="D958" s="2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3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</row>
    <row r="959" spans="1:65" ht="14.25" customHeight="1" x14ac:dyDescent="0.25">
      <c r="A959" s="2"/>
      <c r="B959" s="2"/>
      <c r="C959" s="2"/>
      <c r="D959" s="2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3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</row>
    <row r="960" spans="1:65" ht="14.25" customHeight="1" x14ac:dyDescent="0.25">
      <c r="A960" s="2"/>
      <c r="B960" s="2"/>
      <c r="C960" s="2"/>
      <c r="D960" s="2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3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</row>
    <row r="961" spans="1:65" ht="14.25" customHeight="1" x14ac:dyDescent="0.25">
      <c r="A961" s="2"/>
      <c r="B961" s="2"/>
      <c r="C961" s="2"/>
      <c r="D961" s="2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3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</row>
    <row r="962" spans="1:65" ht="14.25" customHeight="1" x14ac:dyDescent="0.25">
      <c r="A962" s="2"/>
      <c r="B962" s="2"/>
      <c r="C962" s="2"/>
      <c r="D962" s="2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3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</row>
    <row r="963" spans="1:65" ht="14.25" customHeight="1" x14ac:dyDescent="0.25">
      <c r="A963" s="2"/>
      <c r="B963" s="2"/>
      <c r="C963" s="2"/>
      <c r="D963" s="2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3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</row>
    <row r="964" spans="1:65" ht="14.25" customHeight="1" x14ac:dyDescent="0.25">
      <c r="A964" s="2"/>
      <c r="B964" s="2"/>
      <c r="C964" s="2"/>
      <c r="D964" s="2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3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</row>
    <row r="965" spans="1:65" ht="14.25" customHeight="1" x14ac:dyDescent="0.25">
      <c r="A965" s="2"/>
      <c r="B965" s="2"/>
      <c r="C965" s="2"/>
      <c r="D965" s="2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3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</row>
    <row r="966" spans="1:65" ht="14.25" customHeight="1" x14ac:dyDescent="0.25">
      <c r="A966" s="2"/>
      <c r="B966" s="2"/>
      <c r="C966" s="2"/>
      <c r="D966" s="2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3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</row>
    <row r="967" spans="1:65" ht="14.25" customHeight="1" x14ac:dyDescent="0.25">
      <c r="A967" s="2"/>
      <c r="B967" s="2"/>
      <c r="C967" s="2"/>
      <c r="D967" s="2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3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</row>
    <row r="968" spans="1:65" ht="14.25" customHeight="1" x14ac:dyDescent="0.25">
      <c r="A968" s="2"/>
      <c r="B968" s="2"/>
      <c r="C968" s="2"/>
      <c r="D968" s="2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3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</row>
    <row r="969" spans="1:65" ht="14.25" customHeight="1" x14ac:dyDescent="0.25">
      <c r="A969" s="2"/>
      <c r="B969" s="2"/>
      <c r="C969" s="2"/>
      <c r="D969" s="2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3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</row>
    <row r="970" spans="1:65" ht="14.25" customHeight="1" x14ac:dyDescent="0.25">
      <c r="A970" s="2"/>
      <c r="B970" s="2"/>
      <c r="C970" s="2"/>
      <c r="D970" s="2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3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</row>
    <row r="971" spans="1:65" ht="14.25" customHeight="1" x14ac:dyDescent="0.25">
      <c r="A971" s="2"/>
      <c r="B971" s="2"/>
      <c r="C971" s="2"/>
      <c r="D971" s="2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3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</row>
    <row r="972" spans="1:65" ht="14.25" customHeight="1" x14ac:dyDescent="0.25">
      <c r="A972" s="2"/>
      <c r="B972" s="2"/>
      <c r="C972" s="2"/>
      <c r="D972" s="2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3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</row>
    <row r="973" spans="1:65" ht="14.25" customHeight="1" x14ac:dyDescent="0.25">
      <c r="A973" s="2"/>
      <c r="B973" s="2"/>
      <c r="C973" s="2"/>
      <c r="D973" s="2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3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</row>
    <row r="974" spans="1:65" ht="14.25" customHeight="1" x14ac:dyDescent="0.25">
      <c r="A974" s="2"/>
      <c r="B974" s="2"/>
      <c r="C974" s="2"/>
      <c r="D974" s="2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3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</row>
    <row r="975" spans="1:65" ht="14.25" customHeight="1" x14ac:dyDescent="0.25">
      <c r="A975" s="2"/>
      <c r="B975" s="2"/>
      <c r="C975" s="2"/>
      <c r="D975" s="2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3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</row>
    <row r="976" spans="1:65" ht="14.25" customHeight="1" x14ac:dyDescent="0.25">
      <c r="A976" s="2"/>
      <c r="B976" s="2"/>
      <c r="C976" s="2"/>
      <c r="D976" s="2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3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</row>
    <row r="977" spans="1:65" ht="14.25" customHeight="1" x14ac:dyDescent="0.25">
      <c r="A977" s="2"/>
      <c r="B977" s="2"/>
      <c r="C977" s="2"/>
      <c r="D977" s="2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3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</row>
    <row r="978" spans="1:65" ht="14.25" customHeight="1" x14ac:dyDescent="0.25">
      <c r="A978" s="2"/>
      <c r="B978" s="2"/>
      <c r="C978" s="2"/>
      <c r="D978" s="2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3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</row>
    <row r="979" spans="1:65" ht="14.25" customHeight="1" x14ac:dyDescent="0.25">
      <c r="A979" s="2"/>
      <c r="B979" s="2"/>
      <c r="C979" s="2"/>
      <c r="D979" s="2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3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</row>
    <row r="980" spans="1:65" ht="14.25" customHeight="1" x14ac:dyDescent="0.25">
      <c r="A980" s="2"/>
      <c r="B980" s="2"/>
      <c r="C980" s="2"/>
      <c r="D980" s="2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3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</row>
    <row r="981" spans="1:65" ht="14.25" customHeight="1" x14ac:dyDescent="0.25">
      <c r="A981" s="2"/>
      <c r="B981" s="2"/>
      <c r="C981" s="2"/>
      <c r="D981" s="2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3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</row>
    <row r="982" spans="1:65" ht="14.25" customHeight="1" x14ac:dyDescent="0.25">
      <c r="A982" s="2"/>
      <c r="B982" s="2"/>
      <c r="C982" s="2"/>
      <c r="D982" s="2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3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</row>
    <row r="983" spans="1:65" ht="14.25" customHeight="1" x14ac:dyDescent="0.25">
      <c r="A983" s="2"/>
      <c r="B983" s="2"/>
      <c r="C983" s="2"/>
      <c r="D983" s="2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3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</row>
    <row r="984" spans="1:65" ht="14.25" customHeight="1" x14ac:dyDescent="0.25">
      <c r="A984" s="2"/>
      <c r="B984" s="2"/>
      <c r="C984" s="2"/>
      <c r="D984" s="2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3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</row>
    <row r="985" spans="1:65" ht="14.25" customHeight="1" x14ac:dyDescent="0.25">
      <c r="A985" s="2"/>
      <c r="B985" s="2"/>
      <c r="C985" s="2"/>
      <c r="D985" s="2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3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</row>
    <row r="986" spans="1:65" ht="14.25" customHeight="1" x14ac:dyDescent="0.25">
      <c r="A986" s="2"/>
      <c r="B986" s="2"/>
      <c r="C986" s="2"/>
      <c r="D986" s="2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3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</row>
    <row r="987" spans="1:65" ht="14.25" customHeight="1" x14ac:dyDescent="0.25">
      <c r="A987" s="2"/>
      <c r="B987" s="2"/>
      <c r="C987" s="2"/>
      <c r="D987" s="2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3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</row>
    <row r="988" spans="1:65" ht="14.25" customHeight="1" x14ac:dyDescent="0.25">
      <c r="A988" s="2"/>
      <c r="B988" s="2"/>
      <c r="C988" s="2"/>
      <c r="D988" s="2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3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</row>
    <row r="989" spans="1:65" ht="14.25" customHeight="1" x14ac:dyDescent="0.25">
      <c r="A989" s="2"/>
      <c r="B989" s="2"/>
      <c r="C989" s="2"/>
      <c r="D989" s="2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3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</row>
    <row r="990" spans="1:65" ht="14.25" customHeight="1" x14ac:dyDescent="0.25">
      <c r="A990" s="2"/>
      <c r="B990" s="2"/>
      <c r="C990" s="2"/>
      <c r="D990" s="2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3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</row>
    <row r="991" spans="1:65" ht="14.25" customHeight="1" x14ac:dyDescent="0.25">
      <c r="A991" s="2"/>
      <c r="B991" s="2"/>
      <c r="C991" s="2"/>
      <c r="D991" s="2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3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</row>
    <row r="992" spans="1:65" ht="14.25" customHeight="1" x14ac:dyDescent="0.25">
      <c r="A992" s="2"/>
      <c r="B992" s="2"/>
      <c r="C992" s="2"/>
      <c r="D992" s="2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3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</row>
    <row r="993" spans="1:65" ht="14.25" customHeight="1" x14ac:dyDescent="0.25">
      <c r="A993" s="2"/>
      <c r="B993" s="2"/>
      <c r="C993" s="2"/>
      <c r="D993" s="2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3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</row>
    <row r="994" spans="1:65" ht="14.25" customHeight="1" x14ac:dyDescent="0.25">
      <c r="A994" s="2"/>
      <c r="B994" s="2"/>
      <c r="C994" s="2"/>
      <c r="D994" s="2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3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</row>
    <row r="995" spans="1:65" ht="14.25" customHeight="1" x14ac:dyDescent="0.25">
      <c r="A995" s="2"/>
      <c r="B995" s="2"/>
      <c r="C995" s="2"/>
      <c r="D995" s="2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3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</row>
    <row r="996" spans="1:65" ht="14.25" customHeight="1" x14ac:dyDescent="0.25">
      <c r="A996" s="2"/>
      <c r="B996" s="2"/>
      <c r="C996" s="2"/>
      <c r="D996" s="2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3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</row>
    <row r="997" spans="1:65" ht="14.25" customHeight="1" x14ac:dyDescent="0.25">
      <c r="A997" s="2"/>
      <c r="B997" s="2"/>
      <c r="C997" s="2"/>
      <c r="D997" s="2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3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</row>
    <row r="998" spans="1:65" ht="14.25" customHeight="1" x14ac:dyDescent="0.25">
      <c r="A998" s="2"/>
      <c r="B998" s="2"/>
      <c r="C998" s="2"/>
      <c r="D998" s="2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3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</row>
    <row r="999" spans="1:65" ht="14.25" customHeight="1" x14ac:dyDescent="0.25">
      <c r="A999" s="2"/>
      <c r="B999" s="2"/>
      <c r="C999" s="2"/>
      <c r="D999" s="2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3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</row>
    <row r="1000" spans="1:65" ht="14.25" customHeight="1" x14ac:dyDescent="0.25">
      <c r="A1000" s="2"/>
      <c r="B1000" s="2"/>
      <c r="C1000" s="2"/>
      <c r="D1000" s="2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3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</row>
    <row r="1001" spans="1:65" ht="14.25" customHeight="1" x14ac:dyDescent="0.25">
      <c r="A1001" s="2"/>
      <c r="B1001" s="2"/>
      <c r="C1001" s="2"/>
      <c r="D1001" s="2"/>
      <c r="E1001" s="3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3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</row>
    <row r="1002" spans="1:65" ht="14.25" customHeight="1" x14ac:dyDescent="0.25">
      <c r="A1002" s="2"/>
      <c r="B1002" s="2"/>
      <c r="C1002" s="2"/>
      <c r="D1002" s="2"/>
      <c r="E1002" s="3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3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</row>
    <row r="1003" spans="1:65" ht="14.25" customHeight="1" x14ac:dyDescent="0.25">
      <c r="A1003" s="2"/>
      <c r="B1003" s="2"/>
      <c r="C1003" s="2"/>
      <c r="D1003" s="2"/>
      <c r="E1003" s="3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3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</row>
    <row r="1004" spans="1:65" ht="14.25" customHeight="1" x14ac:dyDescent="0.25">
      <c r="A1004" s="2"/>
      <c r="B1004" s="2"/>
      <c r="C1004" s="2"/>
      <c r="D1004" s="2"/>
      <c r="E1004" s="3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3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</row>
    <row r="1005" spans="1:65" ht="14.25" customHeight="1" x14ac:dyDescent="0.25">
      <c r="A1005" s="2"/>
      <c r="B1005" s="2"/>
      <c r="C1005" s="2"/>
      <c r="D1005" s="2"/>
      <c r="E1005" s="3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3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</row>
    <row r="1006" spans="1:65" ht="14.25" customHeight="1" x14ac:dyDescent="0.25">
      <c r="A1006" s="2"/>
      <c r="B1006" s="2"/>
      <c r="C1006" s="2"/>
      <c r="D1006" s="2"/>
      <c r="E1006" s="3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3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</row>
    <row r="1007" spans="1:65" ht="14.25" customHeight="1" x14ac:dyDescent="0.25">
      <c r="A1007" s="2"/>
      <c r="B1007" s="2"/>
      <c r="C1007" s="2"/>
      <c r="D1007" s="2"/>
      <c r="E1007" s="3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3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</row>
    <row r="1008" spans="1:65" ht="14.25" customHeight="1" x14ac:dyDescent="0.25">
      <c r="A1008" s="2"/>
      <c r="B1008" s="2"/>
      <c r="C1008" s="2"/>
      <c r="D1008" s="2"/>
      <c r="E1008" s="3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3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</row>
    <row r="1009" spans="1:65" ht="14.25" customHeight="1" x14ac:dyDescent="0.25">
      <c r="A1009" s="2"/>
      <c r="B1009" s="2"/>
      <c r="C1009" s="2"/>
      <c r="D1009" s="2"/>
      <c r="E1009" s="3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3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</row>
    <row r="1010" spans="1:65" ht="14.25" customHeight="1" x14ac:dyDescent="0.25">
      <c r="A1010" s="2"/>
      <c r="B1010" s="2"/>
      <c r="C1010" s="2"/>
      <c r="D1010" s="2"/>
      <c r="E1010" s="3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3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</row>
    <row r="1011" spans="1:65" ht="14.25" customHeight="1" x14ac:dyDescent="0.25">
      <c r="A1011" s="2"/>
      <c r="B1011" s="2"/>
      <c r="C1011" s="2"/>
      <c r="D1011" s="2"/>
      <c r="E1011" s="3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3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</row>
    <row r="1012" spans="1:65" ht="14.25" customHeight="1" x14ac:dyDescent="0.25">
      <c r="A1012" s="2"/>
      <c r="B1012" s="2"/>
      <c r="C1012" s="2"/>
      <c r="D1012" s="2"/>
      <c r="E1012" s="3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3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</row>
    <row r="1013" spans="1:65" ht="14.25" customHeight="1" x14ac:dyDescent="0.25">
      <c r="A1013" s="2"/>
      <c r="B1013" s="2"/>
      <c r="C1013" s="2"/>
      <c r="D1013" s="2"/>
      <c r="E1013" s="3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3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</row>
    <row r="1014" spans="1:65" ht="14.25" customHeight="1" x14ac:dyDescent="0.25">
      <c r="A1014" s="2"/>
      <c r="B1014" s="2"/>
      <c r="C1014" s="2"/>
      <c r="D1014" s="2"/>
      <c r="E1014" s="3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3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</row>
    <row r="1015" spans="1:65" ht="14.25" customHeight="1" x14ac:dyDescent="0.25">
      <c r="A1015" s="2"/>
      <c r="B1015" s="2"/>
      <c r="C1015" s="2"/>
      <c r="D1015" s="2"/>
      <c r="E1015" s="3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3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</row>
    <row r="1016" spans="1:65" ht="14.25" customHeight="1" x14ac:dyDescent="0.25">
      <c r="A1016" s="2"/>
      <c r="B1016" s="2"/>
      <c r="C1016" s="2"/>
      <c r="D1016" s="2"/>
      <c r="E1016" s="3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3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</row>
    <row r="1017" spans="1:65" ht="14.25" customHeight="1" x14ac:dyDescent="0.25">
      <c r="A1017" s="2"/>
      <c r="B1017" s="2"/>
      <c r="C1017" s="2"/>
      <c r="D1017" s="2"/>
      <c r="E1017" s="3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3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</row>
    <row r="1018" spans="1:65" ht="14.25" customHeight="1" x14ac:dyDescent="0.25">
      <c r="A1018" s="2"/>
      <c r="B1018" s="2"/>
      <c r="C1018" s="2"/>
      <c r="D1018" s="2"/>
      <c r="E1018" s="3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3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</row>
    <row r="1019" spans="1:65" ht="14.25" customHeight="1" x14ac:dyDescent="0.25">
      <c r="A1019" s="2"/>
      <c r="B1019" s="2"/>
      <c r="C1019" s="2"/>
      <c r="D1019" s="2"/>
      <c r="E1019" s="3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3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</row>
    <row r="1020" spans="1:65" ht="14.25" customHeight="1" x14ac:dyDescent="0.25">
      <c r="A1020" s="2"/>
      <c r="B1020" s="2"/>
      <c r="C1020" s="2"/>
      <c r="D1020" s="2"/>
      <c r="E1020" s="3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3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</row>
    <row r="1021" spans="1:65" ht="14.25" customHeight="1" x14ac:dyDescent="0.25">
      <c r="A1021" s="2"/>
      <c r="B1021" s="2"/>
      <c r="C1021" s="2"/>
      <c r="D1021" s="2"/>
      <c r="E1021" s="3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3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</row>
    <row r="1022" spans="1:65" ht="14.25" customHeight="1" x14ac:dyDescent="0.25">
      <c r="A1022" s="2"/>
      <c r="B1022" s="2"/>
      <c r="C1022" s="2"/>
      <c r="D1022" s="2"/>
      <c r="E1022" s="3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3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</row>
    <row r="1023" spans="1:65" ht="14.25" customHeight="1" x14ac:dyDescent="0.25">
      <c r="A1023" s="2"/>
      <c r="B1023" s="2"/>
      <c r="C1023" s="2"/>
      <c r="D1023" s="2"/>
      <c r="E1023" s="3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3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</row>
    <row r="1024" spans="1:65" ht="14.25" customHeight="1" x14ac:dyDescent="0.25">
      <c r="A1024" s="2"/>
      <c r="B1024" s="2"/>
      <c r="C1024" s="2"/>
      <c r="D1024" s="2"/>
      <c r="E1024" s="3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3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</row>
    <row r="1025" spans="1:65" ht="14.25" customHeight="1" x14ac:dyDescent="0.25">
      <c r="A1025" s="2"/>
      <c r="B1025" s="2"/>
      <c r="C1025" s="2"/>
      <c r="D1025" s="2"/>
      <c r="E1025" s="3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3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</row>
    <row r="1026" spans="1:65" ht="14.25" customHeight="1" x14ac:dyDescent="0.25">
      <c r="A1026" s="2"/>
      <c r="B1026" s="2"/>
      <c r="C1026" s="2"/>
      <c r="D1026" s="2"/>
      <c r="E1026" s="3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3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</row>
    <row r="1027" spans="1:65" ht="14.25" customHeight="1" x14ac:dyDescent="0.25">
      <c r="A1027" s="2"/>
      <c r="B1027" s="2"/>
      <c r="C1027" s="2"/>
      <c r="D1027" s="2"/>
      <c r="E1027" s="3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3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</row>
    <row r="1028" spans="1:65" ht="14.25" customHeight="1" x14ac:dyDescent="0.25">
      <c r="A1028" s="2"/>
      <c r="B1028" s="2"/>
      <c r="C1028" s="2"/>
      <c r="D1028" s="2"/>
      <c r="E1028" s="3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3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</row>
    <row r="1029" spans="1:65" ht="14.25" customHeight="1" x14ac:dyDescent="0.25">
      <c r="A1029" s="2"/>
      <c r="B1029" s="2"/>
      <c r="C1029" s="2"/>
      <c r="D1029" s="2"/>
      <c r="E1029" s="3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3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</row>
    <row r="1030" spans="1:65" ht="14.25" customHeight="1" x14ac:dyDescent="0.25">
      <c r="A1030" s="2"/>
      <c r="B1030" s="2"/>
      <c r="C1030" s="2"/>
      <c r="D1030" s="2"/>
      <c r="E1030" s="3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3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</row>
    <row r="1031" spans="1:65" ht="14.25" customHeight="1" x14ac:dyDescent="0.25">
      <c r="A1031" s="2"/>
      <c r="B1031" s="2"/>
      <c r="C1031" s="2"/>
      <c r="D1031" s="2"/>
      <c r="E1031" s="3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3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</row>
    <row r="1032" spans="1:65" ht="14.25" customHeight="1" x14ac:dyDescent="0.25">
      <c r="A1032" s="2"/>
      <c r="B1032" s="2"/>
      <c r="C1032" s="2"/>
      <c r="D1032" s="2"/>
      <c r="E1032" s="3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3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</row>
    <row r="1033" spans="1:65" ht="14.25" customHeight="1" x14ac:dyDescent="0.25">
      <c r="A1033" s="2"/>
      <c r="B1033" s="2"/>
      <c r="C1033" s="2"/>
      <c r="D1033" s="2"/>
      <c r="E1033" s="3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3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</row>
    <row r="1034" spans="1:65" ht="14.25" customHeight="1" x14ac:dyDescent="0.25">
      <c r="A1034" s="2"/>
      <c r="B1034" s="2"/>
      <c r="C1034" s="2"/>
      <c r="D1034" s="2"/>
      <c r="E1034" s="3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3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</row>
    <row r="1035" spans="1:65" ht="14.25" customHeight="1" x14ac:dyDescent="0.25">
      <c r="A1035" s="2"/>
      <c r="B1035" s="2"/>
      <c r="C1035" s="2"/>
      <c r="D1035" s="2"/>
      <c r="E1035" s="3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3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</row>
    <row r="1036" spans="1:65" ht="14.25" customHeight="1" x14ac:dyDescent="0.25">
      <c r="A1036" s="2"/>
      <c r="B1036" s="2"/>
      <c r="C1036" s="2"/>
      <c r="D1036" s="2"/>
      <c r="E1036" s="3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3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</row>
    <row r="1037" spans="1:65" ht="14.25" customHeight="1" x14ac:dyDescent="0.25">
      <c r="A1037" s="2"/>
      <c r="B1037" s="2"/>
      <c r="C1037" s="2"/>
      <c r="D1037" s="2"/>
      <c r="E1037" s="3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3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</row>
    <row r="1038" spans="1:65" ht="14.25" customHeight="1" x14ac:dyDescent="0.25">
      <c r="A1038" s="2"/>
      <c r="B1038" s="2"/>
      <c r="C1038" s="2"/>
      <c r="D1038" s="2"/>
      <c r="E1038" s="3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3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</row>
    <row r="1039" spans="1:65" ht="14.25" customHeight="1" x14ac:dyDescent="0.25">
      <c r="A1039" s="2"/>
      <c r="B1039" s="2"/>
      <c r="C1039" s="2"/>
      <c r="D1039" s="2"/>
      <c r="E1039" s="3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3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</row>
    <row r="1040" spans="1:65" ht="14.25" customHeight="1" x14ac:dyDescent="0.25">
      <c r="A1040" s="2"/>
      <c r="B1040" s="2"/>
      <c r="C1040" s="2"/>
      <c r="D1040" s="2"/>
      <c r="E1040" s="3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3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</row>
    <row r="1041" spans="1:65" ht="14.25" customHeight="1" x14ac:dyDescent="0.25">
      <c r="A1041" s="2"/>
      <c r="B1041" s="2"/>
      <c r="C1041" s="2"/>
      <c r="D1041" s="2"/>
      <c r="E1041" s="3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3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</row>
    <row r="1042" spans="1:65" ht="14.25" customHeight="1" x14ac:dyDescent="0.25">
      <c r="A1042" s="2"/>
      <c r="B1042" s="2"/>
      <c r="C1042" s="2"/>
      <c r="D1042" s="2"/>
      <c r="E1042" s="3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3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</row>
    <row r="1043" spans="1:65" ht="14.25" customHeight="1" x14ac:dyDescent="0.25">
      <c r="A1043" s="2"/>
      <c r="B1043" s="2"/>
      <c r="C1043" s="2"/>
      <c r="D1043" s="2"/>
      <c r="E1043" s="3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3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</row>
    <row r="1044" spans="1:65" ht="14.25" customHeight="1" x14ac:dyDescent="0.25">
      <c r="A1044" s="2"/>
      <c r="B1044" s="2"/>
      <c r="C1044" s="2"/>
      <c r="D1044" s="2"/>
      <c r="E1044" s="3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3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</row>
    <row r="1045" spans="1:65" ht="14.25" customHeight="1" x14ac:dyDescent="0.25">
      <c r="A1045" s="2"/>
      <c r="B1045" s="2"/>
      <c r="C1045" s="2"/>
      <c r="D1045" s="2"/>
      <c r="E1045" s="3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3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</row>
    <row r="1046" spans="1:65" ht="14.25" customHeight="1" x14ac:dyDescent="0.25">
      <c r="A1046" s="2"/>
      <c r="B1046" s="2"/>
      <c r="C1046" s="2"/>
      <c r="D1046" s="2"/>
      <c r="E1046" s="3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3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</row>
    <row r="1047" spans="1:65" ht="14.25" customHeight="1" x14ac:dyDescent="0.25">
      <c r="A1047" s="2"/>
      <c r="B1047" s="2"/>
      <c r="C1047" s="2"/>
      <c r="D1047" s="2"/>
      <c r="E1047" s="3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3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</row>
    <row r="1048" spans="1:65" ht="14.25" customHeight="1" x14ac:dyDescent="0.25">
      <c r="A1048" s="2"/>
      <c r="B1048" s="2"/>
      <c r="C1048" s="2"/>
      <c r="D1048" s="2"/>
      <c r="E1048" s="3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3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</row>
    <row r="1049" spans="1:65" ht="14.25" customHeight="1" x14ac:dyDescent="0.25">
      <c r="A1049" s="2"/>
      <c r="B1049" s="2"/>
      <c r="C1049" s="2"/>
      <c r="D1049" s="2"/>
      <c r="E1049" s="3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3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</row>
    <row r="1050" spans="1:65" ht="14.25" customHeight="1" x14ac:dyDescent="0.25">
      <c r="A1050" s="2"/>
      <c r="B1050" s="2"/>
      <c r="C1050" s="2"/>
      <c r="D1050" s="2"/>
      <c r="E1050" s="3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3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</row>
    <row r="1051" spans="1:65" ht="14.25" customHeight="1" x14ac:dyDescent="0.25">
      <c r="A1051" s="2"/>
      <c r="B1051" s="2"/>
      <c r="C1051" s="2"/>
      <c r="D1051" s="2"/>
      <c r="E1051" s="3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3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</row>
    <row r="1052" spans="1:65" ht="14.25" customHeight="1" x14ac:dyDescent="0.25">
      <c r="A1052" s="2"/>
      <c r="B1052" s="2"/>
      <c r="C1052" s="2"/>
      <c r="D1052" s="2"/>
      <c r="E1052" s="3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3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</row>
    <row r="1053" spans="1:65" ht="14.25" customHeight="1" x14ac:dyDescent="0.25">
      <c r="A1053" s="2"/>
      <c r="B1053" s="2"/>
      <c r="C1053" s="2"/>
      <c r="D1053" s="2"/>
      <c r="E1053" s="3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3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</row>
    <row r="1054" spans="1:65" ht="14.25" customHeight="1" x14ac:dyDescent="0.25">
      <c r="A1054" s="2"/>
      <c r="B1054" s="2"/>
      <c r="C1054" s="2"/>
      <c r="D1054" s="2"/>
      <c r="E1054" s="3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3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</row>
    <row r="1055" spans="1:65" ht="14.25" customHeight="1" x14ac:dyDescent="0.25">
      <c r="A1055" s="2"/>
      <c r="B1055" s="2"/>
      <c r="C1055" s="2"/>
      <c r="D1055" s="2"/>
      <c r="E1055" s="3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3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</row>
    <row r="1056" spans="1:65" ht="14.25" customHeight="1" x14ac:dyDescent="0.25">
      <c r="A1056" s="2"/>
      <c r="B1056" s="2"/>
      <c r="C1056" s="2"/>
      <c r="D1056" s="2"/>
      <c r="E1056" s="3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3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</row>
    <row r="1057" spans="1:65" ht="14.25" customHeight="1" x14ac:dyDescent="0.25">
      <c r="A1057" s="2"/>
      <c r="B1057" s="2"/>
      <c r="C1057" s="2"/>
      <c r="D1057" s="2"/>
      <c r="E1057" s="3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3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</row>
    <row r="1058" spans="1:65" ht="14.25" customHeight="1" x14ac:dyDescent="0.25">
      <c r="A1058" s="2"/>
      <c r="B1058" s="2"/>
      <c r="C1058" s="2"/>
      <c r="D1058" s="2"/>
      <c r="E1058" s="3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3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</row>
    <row r="1059" spans="1:65" ht="14.25" customHeight="1" x14ac:dyDescent="0.25">
      <c r="A1059" s="2"/>
      <c r="B1059" s="2"/>
      <c r="C1059" s="2"/>
      <c r="D1059" s="2"/>
      <c r="E1059" s="3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3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</row>
    <row r="1060" spans="1:65" ht="14.25" customHeight="1" x14ac:dyDescent="0.25">
      <c r="A1060" s="2"/>
      <c r="B1060" s="2"/>
      <c r="C1060" s="2"/>
      <c r="D1060" s="2"/>
      <c r="E1060" s="3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3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</row>
    <row r="1061" spans="1:65" ht="14.25" customHeight="1" x14ac:dyDescent="0.25">
      <c r="A1061" s="2"/>
      <c r="B1061" s="2"/>
      <c r="C1061" s="2"/>
      <c r="D1061" s="2"/>
      <c r="E1061" s="3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3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</row>
    <row r="1062" spans="1:65" ht="14.25" customHeight="1" x14ac:dyDescent="0.25">
      <c r="A1062" s="2"/>
      <c r="B1062" s="2"/>
      <c r="C1062" s="2"/>
      <c r="D1062" s="2"/>
      <c r="E1062" s="3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3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</row>
    <row r="1063" spans="1:65" ht="14.25" customHeight="1" x14ac:dyDescent="0.25">
      <c r="A1063" s="2"/>
      <c r="B1063" s="2"/>
      <c r="C1063" s="2"/>
      <c r="D1063" s="2"/>
      <c r="E1063" s="3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3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</row>
    <row r="1064" spans="1:65" ht="14.25" customHeight="1" x14ac:dyDescent="0.25">
      <c r="A1064" s="2"/>
      <c r="B1064" s="2"/>
      <c r="C1064" s="2"/>
      <c r="D1064" s="2"/>
      <c r="E1064" s="3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3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</row>
    <row r="1065" spans="1:65" ht="14.25" customHeight="1" x14ac:dyDescent="0.25">
      <c r="A1065" s="2"/>
      <c r="B1065" s="2"/>
      <c r="C1065" s="2"/>
      <c r="D1065" s="2"/>
      <c r="E1065" s="3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3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</row>
    <row r="1066" spans="1:65" ht="14.25" customHeight="1" x14ac:dyDescent="0.25">
      <c r="A1066" s="2"/>
      <c r="B1066" s="2"/>
      <c r="C1066" s="2"/>
      <c r="D1066" s="2"/>
      <c r="E1066" s="3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3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</row>
    <row r="1067" spans="1:65" ht="14.25" customHeight="1" x14ac:dyDescent="0.25">
      <c r="A1067" s="2"/>
      <c r="B1067" s="2"/>
      <c r="C1067" s="2"/>
      <c r="D1067" s="2"/>
      <c r="E1067" s="3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3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</row>
    <row r="1068" spans="1:65" ht="14.25" customHeight="1" x14ac:dyDescent="0.25">
      <c r="A1068" s="2"/>
      <c r="B1068" s="2"/>
      <c r="C1068" s="2"/>
      <c r="D1068" s="2"/>
      <c r="E1068" s="3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3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</row>
    <row r="1069" spans="1:65" ht="14.25" customHeight="1" x14ac:dyDescent="0.25">
      <c r="A1069" s="2"/>
      <c r="B1069" s="2"/>
      <c r="C1069" s="2"/>
      <c r="D1069" s="2"/>
      <c r="E1069" s="3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3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</row>
    <row r="1070" spans="1:65" ht="14.25" customHeight="1" x14ac:dyDescent="0.25">
      <c r="A1070" s="2"/>
      <c r="B1070" s="2"/>
      <c r="C1070" s="2"/>
      <c r="D1070" s="2"/>
      <c r="E1070" s="3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3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</row>
    <row r="1071" spans="1:65" ht="14.25" customHeight="1" x14ac:dyDescent="0.25">
      <c r="A1071" s="2"/>
      <c r="B1071" s="2"/>
      <c r="C1071" s="2"/>
      <c r="D1071" s="2"/>
      <c r="E1071" s="3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3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</row>
    <row r="1072" spans="1:65" ht="14.25" customHeight="1" x14ac:dyDescent="0.25">
      <c r="A1072" s="2"/>
      <c r="B1072" s="2"/>
      <c r="C1072" s="2"/>
      <c r="D1072" s="2"/>
      <c r="E1072" s="3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3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</row>
    <row r="1073" spans="1:65" ht="14.25" customHeight="1" x14ac:dyDescent="0.25">
      <c r="A1073" s="2"/>
      <c r="B1073" s="2"/>
      <c r="C1073" s="2"/>
      <c r="D1073" s="2"/>
      <c r="E1073" s="3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3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</row>
    <row r="1074" spans="1:65" ht="14.25" customHeight="1" x14ac:dyDescent="0.25">
      <c r="A1074" s="2"/>
      <c r="B1074" s="2"/>
      <c r="C1074" s="2"/>
      <c r="D1074" s="2"/>
      <c r="E1074" s="3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3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</row>
    <row r="1075" spans="1:65" ht="14.25" customHeight="1" x14ac:dyDescent="0.25">
      <c r="A1075" s="2"/>
      <c r="B1075" s="2"/>
      <c r="C1075" s="2"/>
      <c r="D1075" s="2"/>
      <c r="E1075" s="3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3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</row>
    <row r="1076" spans="1:65" ht="14.25" customHeight="1" x14ac:dyDescent="0.25">
      <c r="A1076" s="2"/>
      <c r="B1076" s="2"/>
      <c r="C1076" s="2"/>
      <c r="D1076" s="2"/>
      <c r="E1076" s="3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3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</row>
    <row r="1077" spans="1:65" ht="14.25" customHeight="1" x14ac:dyDescent="0.25">
      <c r="A1077" s="2"/>
      <c r="B1077" s="2"/>
      <c r="C1077" s="2"/>
      <c r="D1077" s="2"/>
      <c r="E1077" s="3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3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</row>
    <row r="1078" spans="1:65" ht="14.25" customHeight="1" x14ac:dyDescent="0.25">
      <c r="A1078" s="2"/>
      <c r="B1078" s="2"/>
      <c r="C1078" s="2"/>
      <c r="D1078" s="2"/>
      <c r="E1078" s="3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3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</row>
    <row r="1079" spans="1:65" ht="14.25" customHeight="1" x14ac:dyDescent="0.25">
      <c r="A1079" s="2"/>
      <c r="B1079" s="2"/>
      <c r="C1079" s="2"/>
      <c r="D1079" s="2"/>
      <c r="E1079" s="3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3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</row>
    <row r="1080" spans="1:65" ht="14.25" customHeight="1" x14ac:dyDescent="0.25">
      <c r="A1080" s="2"/>
      <c r="B1080" s="2"/>
      <c r="C1080" s="2"/>
      <c r="D1080" s="2"/>
      <c r="E1080" s="3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3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</row>
    <row r="1081" spans="1:65" ht="14.25" customHeight="1" x14ac:dyDescent="0.25">
      <c r="A1081" s="2"/>
      <c r="B1081" s="2"/>
      <c r="C1081" s="2"/>
      <c r="D1081" s="2"/>
      <c r="E1081" s="3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3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</row>
    <row r="1082" spans="1:65" ht="14.25" customHeight="1" x14ac:dyDescent="0.25">
      <c r="A1082" s="2"/>
      <c r="B1082" s="2"/>
      <c r="C1082" s="2"/>
      <c r="D1082" s="2"/>
      <c r="E1082" s="3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3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</row>
    <row r="1083" spans="1:65" ht="14.25" customHeight="1" x14ac:dyDescent="0.25">
      <c r="A1083" s="2"/>
      <c r="B1083" s="2"/>
      <c r="C1083" s="2"/>
      <c r="D1083" s="2"/>
      <c r="E1083" s="3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3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</row>
    <row r="1084" spans="1:65" ht="14.25" customHeight="1" x14ac:dyDescent="0.25">
      <c r="A1084" s="2"/>
      <c r="B1084" s="2"/>
      <c r="C1084" s="2"/>
      <c r="D1084" s="2"/>
      <c r="E1084" s="3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3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</row>
    <row r="1085" spans="1:65" ht="14.25" customHeight="1" x14ac:dyDescent="0.25">
      <c r="A1085" s="2"/>
      <c r="B1085" s="2"/>
      <c r="C1085" s="2"/>
      <c r="D1085" s="2"/>
      <c r="E1085" s="3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3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</row>
    <row r="1086" spans="1:65" ht="14.25" customHeight="1" x14ac:dyDescent="0.25">
      <c r="A1086" s="2"/>
      <c r="B1086" s="2"/>
      <c r="C1086" s="2"/>
      <c r="D1086" s="2"/>
      <c r="E1086" s="3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3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</row>
    <row r="1087" spans="1:65" ht="14.25" customHeight="1" x14ac:dyDescent="0.25">
      <c r="A1087" s="2"/>
      <c r="B1087" s="2"/>
      <c r="C1087" s="2"/>
      <c r="D1087" s="2"/>
      <c r="E1087" s="3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3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</row>
    <row r="1088" spans="1:65" ht="14.25" customHeight="1" x14ac:dyDescent="0.25">
      <c r="A1088" s="2"/>
      <c r="B1088" s="2"/>
      <c r="C1088" s="2"/>
      <c r="D1088" s="2"/>
      <c r="E1088" s="3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3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</row>
    <row r="1089" spans="1:65" ht="14.25" customHeight="1" x14ac:dyDescent="0.25">
      <c r="A1089" s="2"/>
      <c r="B1089" s="2"/>
      <c r="C1089" s="2"/>
      <c r="D1089" s="2"/>
      <c r="E1089" s="3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3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</row>
    <row r="1090" spans="1:65" ht="14.25" customHeight="1" x14ac:dyDescent="0.25">
      <c r="A1090" s="2"/>
      <c r="B1090" s="2"/>
      <c r="C1090" s="2"/>
      <c r="D1090" s="2"/>
      <c r="E1090" s="3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3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</row>
    <row r="1091" spans="1:65" ht="14.25" customHeight="1" x14ac:dyDescent="0.25">
      <c r="A1091" s="2"/>
      <c r="B1091" s="2"/>
      <c r="C1091" s="2"/>
      <c r="D1091" s="2"/>
      <c r="E1091" s="3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3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</row>
    <row r="1092" spans="1:65" ht="14.25" customHeight="1" x14ac:dyDescent="0.25">
      <c r="A1092" s="2"/>
      <c r="B1092" s="2"/>
      <c r="C1092" s="2"/>
      <c r="D1092" s="2"/>
      <c r="E1092" s="3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3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</row>
    <row r="1093" spans="1:65" ht="14.25" customHeight="1" x14ac:dyDescent="0.25">
      <c r="A1093" s="2"/>
      <c r="B1093" s="2"/>
      <c r="C1093" s="2"/>
      <c r="D1093" s="2"/>
      <c r="E1093" s="3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3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</row>
    <row r="1094" spans="1:65" ht="14.25" customHeight="1" x14ac:dyDescent="0.25">
      <c r="A1094" s="2"/>
      <c r="B1094" s="2"/>
      <c r="C1094" s="2"/>
      <c r="D1094" s="2"/>
      <c r="E1094" s="3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3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</row>
    <row r="1095" spans="1:65" ht="14.25" customHeight="1" x14ac:dyDescent="0.25">
      <c r="A1095" s="2"/>
      <c r="B1095" s="2"/>
      <c r="C1095" s="2"/>
      <c r="D1095" s="2"/>
      <c r="E1095" s="3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3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</row>
    <row r="1096" spans="1:65" ht="14.25" customHeight="1" x14ac:dyDescent="0.25">
      <c r="A1096" s="2"/>
      <c r="B1096" s="2"/>
      <c r="C1096" s="2"/>
      <c r="D1096" s="2"/>
      <c r="E1096" s="3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3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</row>
    <row r="1097" spans="1:65" ht="14.25" customHeight="1" x14ac:dyDescent="0.25">
      <c r="A1097" s="2"/>
      <c r="B1097" s="2"/>
      <c r="C1097" s="2"/>
      <c r="D1097" s="2"/>
      <c r="E1097" s="3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3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</row>
    <row r="1098" spans="1:65" ht="14.25" customHeight="1" x14ac:dyDescent="0.25">
      <c r="A1098" s="2"/>
      <c r="B1098" s="2"/>
      <c r="C1098" s="2"/>
      <c r="D1098" s="2"/>
      <c r="E1098" s="3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3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</row>
    <row r="1099" spans="1:65" ht="14.25" customHeight="1" x14ac:dyDescent="0.25">
      <c r="A1099" s="2"/>
      <c r="B1099" s="2"/>
      <c r="C1099" s="2"/>
      <c r="D1099" s="2"/>
      <c r="E1099" s="3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3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</row>
    <row r="1100" spans="1:65" ht="14.25" customHeight="1" x14ac:dyDescent="0.25">
      <c r="A1100" s="2"/>
      <c r="B1100" s="2"/>
      <c r="C1100" s="2"/>
      <c r="D1100" s="2"/>
      <c r="E1100" s="3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3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</row>
    <row r="1101" spans="1:65" ht="14.25" customHeight="1" x14ac:dyDescent="0.25">
      <c r="A1101" s="2"/>
      <c r="B1101" s="2"/>
      <c r="C1101" s="2"/>
      <c r="D1101" s="2"/>
      <c r="E1101" s="3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3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</row>
    <row r="1102" spans="1:65" ht="14.25" customHeight="1" x14ac:dyDescent="0.25">
      <c r="A1102" s="2"/>
      <c r="B1102" s="2"/>
      <c r="C1102" s="2"/>
      <c r="D1102" s="2"/>
      <c r="E1102" s="3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3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</row>
    <row r="1103" spans="1:65" ht="14.25" customHeight="1" x14ac:dyDescent="0.25">
      <c r="A1103" s="2"/>
      <c r="B1103" s="2"/>
      <c r="C1103" s="2"/>
      <c r="D1103" s="2"/>
      <c r="E1103" s="3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3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</row>
    <row r="1104" spans="1:65" ht="14.25" customHeight="1" x14ac:dyDescent="0.25">
      <c r="A1104" s="2"/>
      <c r="B1104" s="2"/>
      <c r="C1104" s="2"/>
      <c r="D1104" s="2"/>
      <c r="E1104" s="3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3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</row>
    <row r="1105" spans="1:65" ht="14.25" customHeight="1" x14ac:dyDescent="0.25">
      <c r="A1105" s="2"/>
      <c r="B1105" s="2"/>
      <c r="C1105" s="2"/>
      <c r="D1105" s="2"/>
      <c r="E1105" s="3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3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</row>
    <row r="1106" spans="1:65" ht="14.25" customHeight="1" x14ac:dyDescent="0.25">
      <c r="A1106" s="2"/>
      <c r="B1106" s="2"/>
      <c r="C1106" s="2"/>
      <c r="D1106" s="2"/>
      <c r="E1106" s="3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3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</row>
    <row r="1107" spans="1:65" ht="14.25" customHeight="1" x14ac:dyDescent="0.25">
      <c r="A1107" s="2"/>
      <c r="B1107" s="2"/>
      <c r="C1107" s="2"/>
      <c r="D1107" s="2"/>
      <c r="E1107" s="3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3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</row>
    <row r="1108" spans="1:65" ht="14.25" customHeight="1" x14ac:dyDescent="0.25">
      <c r="A1108" s="2"/>
      <c r="B1108" s="2"/>
      <c r="C1108" s="2"/>
      <c r="D1108" s="2"/>
      <c r="E1108" s="3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3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</row>
    <row r="1109" spans="1:65" ht="14.25" customHeight="1" x14ac:dyDescent="0.25">
      <c r="A1109" s="2"/>
      <c r="B1109" s="2"/>
      <c r="C1109" s="2"/>
      <c r="D1109" s="2"/>
      <c r="E1109" s="3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3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</row>
    <row r="1110" spans="1:65" ht="14.25" customHeight="1" x14ac:dyDescent="0.25">
      <c r="A1110" s="2"/>
      <c r="B1110" s="2"/>
      <c r="C1110" s="2"/>
      <c r="D1110" s="2"/>
      <c r="E1110" s="3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3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</row>
    <row r="1111" spans="1:65" ht="14.25" customHeight="1" x14ac:dyDescent="0.25">
      <c r="A1111" s="2"/>
      <c r="B1111" s="2"/>
      <c r="C1111" s="2"/>
      <c r="D1111" s="2"/>
      <c r="E1111" s="3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3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</row>
    <row r="1112" spans="1:65" ht="14.25" customHeight="1" x14ac:dyDescent="0.25">
      <c r="A1112" s="2"/>
      <c r="B1112" s="2"/>
      <c r="C1112" s="2"/>
      <c r="D1112" s="2"/>
      <c r="E1112" s="3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3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</row>
    <row r="1113" spans="1:65" ht="14.25" customHeight="1" x14ac:dyDescent="0.25">
      <c r="A1113" s="2"/>
      <c r="B1113" s="2"/>
      <c r="C1113" s="2"/>
      <c r="D1113" s="2"/>
      <c r="E1113" s="3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3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</row>
    <row r="1114" spans="1:65" ht="14.25" customHeight="1" x14ac:dyDescent="0.25">
      <c r="A1114" s="2"/>
      <c r="B1114" s="2"/>
      <c r="C1114" s="2"/>
      <c r="D1114" s="2"/>
      <c r="E1114" s="3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3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</row>
    <row r="1115" spans="1:65" ht="14.25" customHeight="1" x14ac:dyDescent="0.25">
      <c r="A1115" s="2"/>
      <c r="B1115" s="2"/>
      <c r="C1115" s="2"/>
      <c r="D1115" s="2"/>
      <c r="E1115" s="3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3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</row>
    <row r="1116" spans="1:65" ht="14.25" customHeight="1" x14ac:dyDescent="0.25">
      <c r="A1116" s="2"/>
      <c r="B1116" s="2"/>
      <c r="C1116" s="2"/>
      <c r="D1116" s="2"/>
      <c r="E1116" s="3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3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</row>
    <row r="1117" spans="1:65" ht="14.25" customHeight="1" x14ac:dyDescent="0.25">
      <c r="A1117" s="2"/>
      <c r="B1117" s="2"/>
      <c r="C1117" s="2"/>
      <c r="D1117" s="2"/>
      <c r="E1117" s="3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3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</row>
    <row r="1118" spans="1:65" ht="14.25" customHeight="1" x14ac:dyDescent="0.25">
      <c r="A1118" s="2"/>
      <c r="B1118" s="2"/>
      <c r="C1118" s="2"/>
      <c r="D1118" s="2"/>
      <c r="E1118" s="3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3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</row>
    <row r="1119" spans="1:65" ht="14.25" customHeight="1" x14ac:dyDescent="0.25">
      <c r="A1119" s="2"/>
      <c r="B1119" s="2"/>
      <c r="C1119" s="2"/>
      <c r="D1119" s="2"/>
      <c r="E1119" s="3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3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</row>
    <row r="1120" spans="1:65" ht="14.25" customHeight="1" x14ac:dyDescent="0.25">
      <c r="A1120" s="2"/>
      <c r="B1120" s="2"/>
      <c r="C1120" s="2"/>
      <c r="D1120" s="2"/>
      <c r="E1120" s="3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3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</row>
    <row r="1121" spans="1:65" ht="14.25" customHeight="1" x14ac:dyDescent="0.25">
      <c r="A1121" s="2"/>
      <c r="B1121" s="2"/>
      <c r="C1121" s="2"/>
      <c r="D1121" s="2"/>
      <c r="E1121" s="3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3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</row>
    <row r="1122" spans="1:65" ht="14.25" customHeight="1" x14ac:dyDescent="0.25">
      <c r="A1122" s="2"/>
      <c r="B1122" s="2"/>
      <c r="C1122" s="2"/>
      <c r="D1122" s="2"/>
      <c r="E1122" s="3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3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</row>
    <row r="1123" spans="1:65" ht="14.25" customHeight="1" x14ac:dyDescent="0.25">
      <c r="A1123" s="2"/>
      <c r="B1123" s="2"/>
      <c r="C1123" s="2"/>
      <c r="D1123" s="2"/>
      <c r="E1123" s="3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3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</row>
    <row r="1124" spans="1:65" ht="14.25" customHeight="1" x14ac:dyDescent="0.25">
      <c r="A1124" s="2"/>
      <c r="B1124" s="2"/>
      <c r="C1124" s="2"/>
      <c r="D1124" s="2"/>
      <c r="E1124" s="3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3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</row>
    <row r="1125" spans="1:65" ht="14.25" customHeight="1" x14ac:dyDescent="0.25">
      <c r="A1125" s="2"/>
      <c r="B1125" s="2"/>
      <c r="C1125" s="2"/>
      <c r="D1125" s="2"/>
      <c r="E1125" s="3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3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</row>
    <row r="1126" spans="1:65" ht="14.25" customHeight="1" x14ac:dyDescent="0.25">
      <c r="A1126" s="2"/>
      <c r="B1126" s="2"/>
      <c r="C1126" s="2"/>
      <c r="D1126" s="2"/>
      <c r="E1126" s="3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3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</row>
    <row r="1127" spans="1:65" ht="14.25" customHeight="1" x14ac:dyDescent="0.25">
      <c r="A1127" s="2"/>
      <c r="B1127" s="2"/>
      <c r="C1127" s="2"/>
      <c r="D1127" s="2"/>
      <c r="E1127" s="3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3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</row>
    <row r="1128" spans="1:65" ht="14.25" customHeight="1" x14ac:dyDescent="0.25">
      <c r="A1128" s="2"/>
      <c r="B1128" s="2"/>
      <c r="C1128" s="2"/>
      <c r="D1128" s="2"/>
      <c r="E1128" s="3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3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</row>
    <row r="1129" spans="1:65" ht="14.25" customHeight="1" x14ac:dyDescent="0.25">
      <c r="A1129" s="2"/>
      <c r="B1129" s="2"/>
      <c r="C1129" s="2"/>
      <c r="D1129" s="2"/>
      <c r="E1129" s="3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3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</row>
    <row r="1130" spans="1:65" ht="14.25" customHeight="1" x14ac:dyDescent="0.25">
      <c r="A1130" s="2"/>
      <c r="B1130" s="2"/>
      <c r="C1130" s="2"/>
      <c r="D1130" s="2"/>
      <c r="E1130" s="3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3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</row>
    <row r="1131" spans="1:65" ht="14.25" customHeight="1" x14ac:dyDescent="0.25">
      <c r="A1131" s="2"/>
      <c r="B1131" s="2"/>
      <c r="C1131" s="2"/>
      <c r="D1131" s="2"/>
      <c r="E1131" s="3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3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</row>
    <row r="1132" spans="1:65" ht="14.25" customHeight="1" x14ac:dyDescent="0.25">
      <c r="A1132" s="2"/>
      <c r="B1132" s="2"/>
      <c r="C1132" s="2"/>
      <c r="D1132" s="2"/>
      <c r="E1132" s="3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3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</row>
    <row r="1133" spans="1:65" ht="14.25" customHeight="1" x14ac:dyDescent="0.25">
      <c r="A1133" s="2"/>
      <c r="B1133" s="2"/>
      <c r="C1133" s="2"/>
      <c r="D1133" s="2"/>
      <c r="E1133" s="3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3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</row>
    <row r="1134" spans="1:65" ht="14.25" customHeight="1" x14ac:dyDescent="0.25">
      <c r="A1134" s="2"/>
      <c r="B1134" s="2"/>
      <c r="C1134" s="2"/>
      <c r="D1134" s="2"/>
      <c r="E1134" s="3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3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</row>
    <row r="1135" spans="1:65" ht="14.25" customHeight="1" x14ac:dyDescent="0.25">
      <c r="A1135" s="2"/>
      <c r="B1135" s="2"/>
      <c r="C1135" s="2"/>
      <c r="D1135" s="2"/>
      <c r="E1135" s="3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3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</row>
    <row r="1136" spans="1:65" ht="14.25" customHeight="1" x14ac:dyDescent="0.25">
      <c r="A1136" s="2"/>
      <c r="B1136" s="2"/>
      <c r="C1136" s="2"/>
      <c r="D1136" s="2"/>
      <c r="E1136" s="3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3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</row>
    <row r="1137" spans="1:65" ht="14.25" customHeight="1" x14ac:dyDescent="0.25">
      <c r="A1137" s="2"/>
      <c r="B1137" s="2"/>
      <c r="C1137" s="2"/>
      <c r="D1137" s="2"/>
      <c r="E1137" s="3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3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</row>
  </sheetData>
  <mergeCells count="19">
    <mergeCell ref="B3:BF3"/>
    <mergeCell ref="B6:B17"/>
    <mergeCell ref="B18:B26"/>
    <mergeCell ref="B27:B36"/>
    <mergeCell ref="B37:B46"/>
    <mergeCell ref="B47:B52"/>
    <mergeCell ref="B65:B84"/>
    <mergeCell ref="E155:F155"/>
    <mergeCell ref="E156:F156"/>
    <mergeCell ref="E157:F157"/>
    <mergeCell ref="E158:F158"/>
    <mergeCell ref="F161:J161"/>
    <mergeCell ref="B86:B94"/>
    <mergeCell ref="B96:B109"/>
    <mergeCell ref="B111:B121"/>
    <mergeCell ref="B123:B133"/>
    <mergeCell ref="B135:B143"/>
    <mergeCell ref="B145:B153"/>
    <mergeCell ref="E154:F154"/>
  </mergeCells>
  <pageMargins left="0.39370078740157477" right="0.39370078740157477" top="0.39370078740157477" bottom="0.39370078740157477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H12"/>
  <sheetViews>
    <sheetView workbookViewId="0"/>
  </sheetViews>
  <sheetFormatPr defaultColWidth="14.42578125" defaultRowHeight="15" customHeight="1" x14ac:dyDescent="0.25"/>
  <cols>
    <col min="2" max="2" width="22.42578125" customWidth="1"/>
    <col min="3" max="3" width="23.28515625" customWidth="1"/>
    <col min="4" max="4" width="17.140625" customWidth="1"/>
  </cols>
  <sheetData>
    <row r="2" spans="2:8" x14ac:dyDescent="0.25">
      <c r="B2" s="99" t="s">
        <v>230</v>
      </c>
      <c r="C2" s="86"/>
      <c r="D2" s="86"/>
      <c r="E2" s="86"/>
      <c r="F2" s="86"/>
      <c r="G2" s="86"/>
      <c r="H2" s="86"/>
    </row>
    <row r="3" spans="2:8" x14ac:dyDescent="0.25">
      <c r="B3" s="67" t="s">
        <v>231</v>
      </c>
      <c r="C3" s="67" t="s">
        <v>204</v>
      </c>
      <c r="D3" s="67" t="s">
        <v>232</v>
      </c>
      <c r="E3" s="67" t="s">
        <v>233</v>
      </c>
      <c r="F3" s="67" t="s">
        <v>234</v>
      </c>
    </row>
    <row r="4" spans="2:8" x14ac:dyDescent="0.25">
      <c r="B4" s="13" t="s">
        <v>60</v>
      </c>
      <c r="C4" s="67" t="s">
        <v>235</v>
      </c>
      <c r="D4" s="67" t="s">
        <v>236</v>
      </c>
      <c r="E4" s="67" t="s">
        <v>237</v>
      </c>
      <c r="F4" s="67" t="s">
        <v>238</v>
      </c>
    </row>
    <row r="5" spans="2:8" x14ac:dyDescent="0.25">
      <c r="B5" s="13" t="s">
        <v>60</v>
      </c>
      <c r="C5" s="67" t="s">
        <v>239</v>
      </c>
      <c r="D5" s="67" t="s">
        <v>240</v>
      </c>
    </row>
    <row r="6" spans="2:8" x14ac:dyDescent="0.25">
      <c r="B6" s="13" t="s">
        <v>60</v>
      </c>
      <c r="C6" s="67" t="s">
        <v>241</v>
      </c>
      <c r="D6" s="67" t="s">
        <v>242</v>
      </c>
      <c r="E6" s="67" t="s">
        <v>243</v>
      </c>
      <c r="F6" s="67" t="s">
        <v>244</v>
      </c>
    </row>
    <row r="7" spans="2:8" x14ac:dyDescent="0.25">
      <c r="B7" s="13" t="s">
        <v>78</v>
      </c>
      <c r="C7" s="67" t="s">
        <v>235</v>
      </c>
      <c r="D7" s="67" t="s">
        <v>236</v>
      </c>
      <c r="E7" s="67" t="s">
        <v>245</v>
      </c>
      <c r="F7" s="67" t="s">
        <v>246</v>
      </c>
    </row>
    <row r="8" spans="2:8" x14ac:dyDescent="0.25">
      <c r="B8" s="13" t="s">
        <v>78</v>
      </c>
      <c r="C8" s="67" t="s">
        <v>239</v>
      </c>
      <c r="E8" s="67" t="s">
        <v>243</v>
      </c>
      <c r="F8" s="67" t="s">
        <v>247</v>
      </c>
    </row>
    <row r="9" spans="2:8" x14ac:dyDescent="0.25">
      <c r="B9" s="13" t="s">
        <v>78</v>
      </c>
      <c r="C9" s="67" t="s">
        <v>241</v>
      </c>
      <c r="D9" s="67" t="s">
        <v>242</v>
      </c>
      <c r="E9" s="67" t="s">
        <v>248</v>
      </c>
      <c r="F9" s="67" t="s">
        <v>249</v>
      </c>
    </row>
    <row r="12" spans="2:8" x14ac:dyDescent="0.25">
      <c r="G12" s="68"/>
    </row>
  </sheetData>
  <mergeCells count="1">
    <mergeCell ref="B2:H2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BF106"/>
  <sheetViews>
    <sheetView workbookViewId="0"/>
  </sheetViews>
  <sheetFormatPr defaultColWidth="14.42578125" defaultRowHeight="15" customHeight="1" x14ac:dyDescent="0.25"/>
  <cols>
    <col min="2" max="2" width="51.85546875" customWidth="1"/>
    <col min="3" max="3" width="43.28515625" customWidth="1"/>
    <col min="4" max="4" width="18.28515625" customWidth="1"/>
    <col min="7" max="7" width="5.28515625" customWidth="1"/>
    <col min="8" max="58" width="5.140625" customWidth="1"/>
  </cols>
  <sheetData>
    <row r="2" spans="1:58" ht="15.75" x14ac:dyDescent="0.25">
      <c r="A2" s="1"/>
      <c r="B2" s="100" t="s">
        <v>1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2"/>
    </row>
    <row r="3" spans="1:58" ht="76.5" customHeight="1" x14ac:dyDescent="0.25">
      <c r="A3" s="65"/>
      <c r="B3" s="69" t="s">
        <v>2</v>
      </c>
      <c r="C3" s="69" t="s">
        <v>3</v>
      </c>
      <c r="D3" s="69" t="s">
        <v>4</v>
      </c>
      <c r="E3" s="69" t="s">
        <v>250</v>
      </c>
      <c r="F3" s="69" t="s">
        <v>5</v>
      </c>
      <c r="G3" s="70" t="s">
        <v>251</v>
      </c>
      <c r="H3" s="70" t="s">
        <v>252</v>
      </c>
      <c r="I3" s="71" t="s">
        <v>253</v>
      </c>
      <c r="J3" s="71" t="s">
        <v>254</v>
      </c>
      <c r="K3" s="71" t="s">
        <v>255</v>
      </c>
      <c r="L3" s="71" t="s">
        <v>256</v>
      </c>
      <c r="M3" s="71" t="s">
        <v>257</v>
      </c>
      <c r="N3" s="71" t="s">
        <v>258</v>
      </c>
      <c r="O3" s="71" t="s">
        <v>259</v>
      </c>
      <c r="P3" s="71" t="s">
        <v>260</v>
      </c>
      <c r="Q3" s="71" t="s">
        <v>261</v>
      </c>
      <c r="R3" s="71" t="s">
        <v>262</v>
      </c>
      <c r="S3" s="71" t="s">
        <v>263</v>
      </c>
      <c r="T3" s="71" t="s">
        <v>264</v>
      </c>
      <c r="U3" s="71" t="s">
        <v>265</v>
      </c>
      <c r="V3" s="71" t="s">
        <v>266</v>
      </c>
      <c r="W3" s="71" t="s">
        <v>267</v>
      </c>
      <c r="X3" s="71" t="s">
        <v>268</v>
      </c>
      <c r="Y3" s="71" t="s">
        <v>269</v>
      </c>
      <c r="Z3" s="71" t="s">
        <v>270</v>
      </c>
      <c r="AA3" s="71" t="s">
        <v>271</v>
      </c>
      <c r="AB3" s="71" t="s">
        <v>272</v>
      </c>
      <c r="AC3" s="71" t="s">
        <v>273</v>
      </c>
      <c r="AD3" s="71" t="s">
        <v>274</v>
      </c>
      <c r="AE3" s="71" t="s">
        <v>275</v>
      </c>
      <c r="AF3" s="71" t="s">
        <v>276</v>
      </c>
      <c r="AG3" s="71" t="s">
        <v>277</v>
      </c>
      <c r="AH3" s="71" t="s">
        <v>278</v>
      </c>
      <c r="AI3" s="71" t="s">
        <v>279</v>
      </c>
      <c r="AJ3" s="71" t="s">
        <v>280</v>
      </c>
      <c r="AK3" s="71" t="s">
        <v>281</v>
      </c>
      <c r="AL3" s="71" t="s">
        <v>282</v>
      </c>
      <c r="AM3" s="71" t="s">
        <v>283</v>
      </c>
      <c r="AN3" s="71" t="s">
        <v>284</v>
      </c>
      <c r="AO3" s="71" t="s">
        <v>285</v>
      </c>
      <c r="AP3" s="71" t="s">
        <v>286</v>
      </c>
      <c r="AQ3" s="71" t="s">
        <v>287</v>
      </c>
      <c r="AR3" s="71" t="s">
        <v>288</v>
      </c>
      <c r="AS3" s="71" t="s">
        <v>289</v>
      </c>
      <c r="AT3" s="71" t="s">
        <v>290</v>
      </c>
      <c r="AU3" s="71" t="s">
        <v>291</v>
      </c>
      <c r="AV3" s="71" t="s">
        <v>292</v>
      </c>
      <c r="AW3" s="71" t="s">
        <v>293</v>
      </c>
      <c r="AX3" s="71" t="s">
        <v>294</v>
      </c>
      <c r="AY3" s="71" t="s">
        <v>295</v>
      </c>
      <c r="AZ3" s="71" t="s">
        <v>296</v>
      </c>
      <c r="BA3" s="71" t="s">
        <v>297</v>
      </c>
      <c r="BB3" s="71" t="s">
        <v>298</v>
      </c>
      <c r="BC3" s="72" t="s">
        <v>299</v>
      </c>
      <c r="BD3" s="72" t="s">
        <v>300</v>
      </c>
      <c r="BE3" s="72" t="s">
        <v>301</v>
      </c>
      <c r="BF3" s="72" t="s">
        <v>302</v>
      </c>
    </row>
    <row r="4" spans="1:58" ht="15.75" x14ac:dyDescent="0.25">
      <c r="A4" s="2"/>
      <c r="B4" s="13"/>
      <c r="C4" s="13"/>
      <c r="D4" s="13"/>
      <c r="E4" s="13"/>
      <c r="F4" s="13"/>
      <c r="G4" s="30">
        <v>1</v>
      </c>
      <c r="H4" s="30">
        <v>2</v>
      </c>
      <c r="I4" s="30">
        <v>3</v>
      </c>
      <c r="J4" s="30">
        <v>4</v>
      </c>
      <c r="K4" s="30">
        <v>5</v>
      </c>
      <c r="L4" s="30">
        <v>6</v>
      </c>
      <c r="M4" s="30">
        <v>7</v>
      </c>
      <c r="N4" s="30">
        <v>8</v>
      </c>
      <c r="O4" s="30">
        <v>9</v>
      </c>
      <c r="P4" s="30">
        <v>10</v>
      </c>
      <c r="Q4" s="30">
        <v>11</v>
      </c>
      <c r="R4" s="30">
        <v>12</v>
      </c>
      <c r="S4" s="30">
        <v>13</v>
      </c>
      <c r="T4" s="44">
        <v>14</v>
      </c>
      <c r="U4" s="30">
        <v>15</v>
      </c>
      <c r="V4" s="30">
        <v>16</v>
      </c>
      <c r="W4" s="30">
        <v>17</v>
      </c>
      <c r="X4" s="30">
        <v>18</v>
      </c>
      <c r="Y4" s="30">
        <v>19</v>
      </c>
      <c r="Z4" s="30">
        <v>20</v>
      </c>
      <c r="AA4" s="30">
        <v>21</v>
      </c>
      <c r="AB4" s="30">
        <v>22</v>
      </c>
      <c r="AC4" s="30">
        <v>23</v>
      </c>
      <c r="AD4" s="30">
        <v>24</v>
      </c>
      <c r="AE4" s="30">
        <v>25</v>
      </c>
      <c r="AF4" s="30">
        <v>26</v>
      </c>
      <c r="AG4" s="30">
        <v>27</v>
      </c>
      <c r="AH4" s="30">
        <v>28</v>
      </c>
      <c r="AI4" s="30">
        <v>29</v>
      </c>
      <c r="AJ4" s="30">
        <v>30</v>
      </c>
      <c r="AK4" s="30">
        <v>31</v>
      </c>
      <c r="AL4" s="30">
        <v>32</v>
      </c>
      <c r="AM4" s="30">
        <v>33</v>
      </c>
      <c r="AN4" s="30">
        <v>34</v>
      </c>
      <c r="AO4" s="30">
        <v>35</v>
      </c>
      <c r="AP4" s="30">
        <v>36</v>
      </c>
      <c r="AQ4" s="30">
        <v>37</v>
      </c>
      <c r="AR4" s="30">
        <v>38</v>
      </c>
      <c r="AS4" s="30">
        <v>39</v>
      </c>
      <c r="AT4" s="30">
        <v>40</v>
      </c>
      <c r="AU4" s="30">
        <v>41</v>
      </c>
      <c r="AV4" s="30">
        <v>42</v>
      </c>
      <c r="AW4" s="30">
        <v>43</v>
      </c>
      <c r="AX4" s="30">
        <v>44</v>
      </c>
      <c r="AY4" s="30">
        <v>45</v>
      </c>
      <c r="AZ4" s="30">
        <v>46</v>
      </c>
      <c r="BA4" s="30">
        <v>47</v>
      </c>
      <c r="BB4" s="30">
        <v>48</v>
      </c>
      <c r="BC4" s="30">
        <v>49</v>
      </c>
      <c r="BD4" s="30">
        <v>50</v>
      </c>
      <c r="BE4" s="30">
        <v>51</v>
      </c>
      <c r="BF4" s="30">
        <v>52</v>
      </c>
    </row>
    <row r="5" spans="1:58" ht="15.75" x14ac:dyDescent="0.25">
      <c r="B5" s="13" t="s">
        <v>303</v>
      </c>
      <c r="C5" s="13" t="s">
        <v>167</v>
      </c>
      <c r="D5" s="13" t="s">
        <v>304</v>
      </c>
      <c r="E5" s="13">
        <v>6</v>
      </c>
      <c r="F5" s="13" t="s">
        <v>168</v>
      </c>
      <c r="G5" s="73"/>
      <c r="H5" s="73"/>
      <c r="I5" s="73"/>
      <c r="J5" s="73"/>
      <c r="K5" s="74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</row>
    <row r="6" spans="1:58" ht="15.75" x14ac:dyDescent="0.25">
      <c r="B6" s="13" t="s">
        <v>303</v>
      </c>
      <c r="C6" s="13" t="s">
        <v>165</v>
      </c>
      <c r="D6" s="13" t="s">
        <v>305</v>
      </c>
      <c r="E6" s="13">
        <v>1</v>
      </c>
      <c r="F6" s="13" t="s">
        <v>166</v>
      </c>
      <c r="K6" s="75"/>
      <c r="O6" s="75"/>
      <c r="S6" s="75"/>
      <c r="X6" s="75"/>
      <c r="AB6" s="75"/>
      <c r="AF6" s="75"/>
      <c r="AK6" s="75"/>
      <c r="AO6" s="75"/>
      <c r="AS6" s="75"/>
      <c r="AX6" s="75"/>
      <c r="BB6" s="75"/>
    </row>
    <row r="7" spans="1:58" ht="15.75" x14ac:dyDescent="0.25">
      <c r="B7" s="13" t="s">
        <v>303</v>
      </c>
      <c r="C7" s="13" t="s">
        <v>169</v>
      </c>
      <c r="D7" s="13" t="s">
        <v>304</v>
      </c>
      <c r="E7" s="13">
        <v>2</v>
      </c>
      <c r="F7" s="13" t="s">
        <v>166</v>
      </c>
      <c r="K7" s="75"/>
      <c r="O7" s="75"/>
      <c r="S7" s="75"/>
      <c r="X7" s="75"/>
      <c r="AB7" s="75"/>
      <c r="AF7" s="75"/>
      <c r="AK7" s="75"/>
      <c r="AO7" s="75"/>
      <c r="AS7" s="75"/>
      <c r="AX7" s="75"/>
      <c r="BB7" s="75"/>
    </row>
    <row r="8" spans="1:58" ht="15.75" x14ac:dyDescent="0.25">
      <c r="B8" s="13" t="s">
        <v>303</v>
      </c>
      <c r="C8" s="13" t="s">
        <v>170</v>
      </c>
      <c r="D8" s="13" t="s">
        <v>304</v>
      </c>
      <c r="E8" s="13">
        <v>2</v>
      </c>
      <c r="F8" s="13" t="s">
        <v>166</v>
      </c>
      <c r="K8" s="75"/>
      <c r="O8" s="75"/>
      <c r="S8" s="75"/>
      <c r="X8" s="75"/>
      <c r="AB8" s="75"/>
      <c r="AF8" s="75"/>
      <c r="AK8" s="75"/>
      <c r="AO8" s="75"/>
      <c r="AS8" s="75"/>
      <c r="AX8" s="75"/>
      <c r="BB8" s="75"/>
    </row>
    <row r="9" spans="1:58" ht="15.75" x14ac:dyDescent="0.25">
      <c r="B9" s="13" t="s">
        <v>303</v>
      </c>
      <c r="C9" s="13" t="s">
        <v>171</v>
      </c>
      <c r="D9" s="13" t="s">
        <v>305</v>
      </c>
      <c r="E9" s="13">
        <v>1</v>
      </c>
      <c r="F9" s="13" t="s">
        <v>166</v>
      </c>
      <c r="K9" s="75"/>
      <c r="O9" s="75"/>
      <c r="S9" s="75"/>
      <c r="X9" s="75"/>
      <c r="AB9" s="75"/>
      <c r="AF9" s="75"/>
      <c r="AK9" s="75"/>
      <c r="AO9" s="75"/>
      <c r="AS9" s="75"/>
      <c r="AX9" s="75"/>
      <c r="BB9" s="75"/>
    </row>
    <row r="10" spans="1:58" ht="15.75" x14ac:dyDescent="0.25">
      <c r="B10" s="13" t="s">
        <v>303</v>
      </c>
      <c r="C10" s="13" t="s">
        <v>172</v>
      </c>
      <c r="D10" s="13" t="s">
        <v>304</v>
      </c>
      <c r="E10" s="13">
        <v>2</v>
      </c>
      <c r="F10" s="13" t="s">
        <v>166</v>
      </c>
      <c r="K10" s="75"/>
      <c r="O10" s="75"/>
      <c r="S10" s="75"/>
      <c r="X10" s="75"/>
      <c r="AB10" s="75"/>
      <c r="AF10" s="75"/>
      <c r="AK10" s="75"/>
      <c r="AO10" s="75"/>
      <c r="AS10" s="75"/>
      <c r="AX10" s="75"/>
      <c r="BB10" s="75"/>
    </row>
    <row r="11" spans="1:58" ht="15.75" x14ac:dyDescent="0.25">
      <c r="B11" s="13" t="s">
        <v>303</v>
      </c>
      <c r="C11" s="13" t="s">
        <v>174</v>
      </c>
      <c r="D11" s="13" t="s">
        <v>304</v>
      </c>
      <c r="E11" s="13">
        <v>6</v>
      </c>
      <c r="F11" s="13" t="s">
        <v>65</v>
      </c>
      <c r="T11" s="76"/>
      <c r="AT11" s="76"/>
    </row>
    <row r="12" spans="1:58" ht="15.75" x14ac:dyDescent="0.25">
      <c r="B12" s="13" t="s">
        <v>303</v>
      </c>
      <c r="C12" s="13" t="s">
        <v>173</v>
      </c>
      <c r="D12" s="13" t="s">
        <v>304</v>
      </c>
      <c r="E12" s="13">
        <v>2</v>
      </c>
      <c r="F12" s="13" t="s">
        <v>62</v>
      </c>
      <c r="T12" s="77"/>
    </row>
    <row r="13" spans="1:58" ht="15.75" x14ac:dyDescent="0.25">
      <c r="B13" s="13" t="s">
        <v>303</v>
      </c>
      <c r="C13" s="13" t="s">
        <v>175</v>
      </c>
      <c r="D13" s="13" t="s">
        <v>306</v>
      </c>
      <c r="E13" s="13">
        <v>1</v>
      </c>
      <c r="F13" s="13" t="s">
        <v>62</v>
      </c>
      <c r="T13" s="77"/>
    </row>
    <row r="14" spans="1:58" ht="15.75" x14ac:dyDescent="0.25">
      <c r="B14" s="13" t="s">
        <v>307</v>
      </c>
      <c r="C14" s="13" t="s">
        <v>198</v>
      </c>
      <c r="D14" s="13" t="s">
        <v>304</v>
      </c>
      <c r="E14" s="13">
        <v>2</v>
      </c>
      <c r="F14" s="13" t="s">
        <v>168</v>
      </c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</row>
    <row r="15" spans="1:58" ht="15.75" x14ac:dyDescent="0.25">
      <c r="B15" s="13" t="s">
        <v>307</v>
      </c>
      <c r="C15" s="13" t="s">
        <v>206</v>
      </c>
      <c r="D15" s="13" t="s">
        <v>304</v>
      </c>
      <c r="E15" s="13">
        <v>1</v>
      </c>
      <c r="F15" s="13" t="s">
        <v>168</v>
      </c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</row>
    <row r="16" spans="1:58" ht="15.75" x14ac:dyDescent="0.25">
      <c r="B16" s="13" t="s">
        <v>307</v>
      </c>
      <c r="C16" s="13" t="s">
        <v>167</v>
      </c>
      <c r="D16" s="13" t="s">
        <v>304</v>
      </c>
      <c r="E16" s="13">
        <v>2</v>
      </c>
      <c r="F16" s="13" t="s">
        <v>168</v>
      </c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</row>
    <row r="17" spans="2:58" ht="15.75" x14ac:dyDescent="0.25">
      <c r="B17" s="13" t="s">
        <v>307</v>
      </c>
      <c r="C17" s="13" t="s">
        <v>205</v>
      </c>
      <c r="D17" s="13" t="s">
        <v>304</v>
      </c>
      <c r="E17" s="13">
        <v>2</v>
      </c>
      <c r="F17" s="13" t="s">
        <v>168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</row>
    <row r="18" spans="2:58" ht="15.75" x14ac:dyDescent="0.25">
      <c r="B18" s="13" t="s">
        <v>307</v>
      </c>
      <c r="C18" s="13" t="s">
        <v>197</v>
      </c>
      <c r="D18" s="13" t="s">
        <v>305</v>
      </c>
      <c r="E18" s="13">
        <v>1</v>
      </c>
      <c r="F18" s="13" t="s">
        <v>166</v>
      </c>
      <c r="K18" s="75"/>
      <c r="O18" s="75"/>
      <c r="S18" s="75"/>
      <c r="X18" s="75"/>
      <c r="AB18" s="75"/>
      <c r="AF18" s="75"/>
      <c r="AK18" s="75"/>
      <c r="AO18" s="75"/>
      <c r="AS18" s="75"/>
      <c r="AX18" s="75"/>
      <c r="BB18" s="75"/>
    </row>
    <row r="19" spans="2:58" ht="15.75" x14ac:dyDescent="0.25">
      <c r="B19" s="13" t="s">
        <v>307</v>
      </c>
      <c r="C19" s="13" t="s">
        <v>199</v>
      </c>
      <c r="D19" s="13" t="s">
        <v>304</v>
      </c>
      <c r="E19" s="13">
        <v>2</v>
      </c>
      <c r="F19" s="13" t="s">
        <v>166</v>
      </c>
      <c r="K19" s="75"/>
      <c r="O19" s="75"/>
      <c r="S19" s="75"/>
      <c r="X19" s="75"/>
      <c r="AB19" s="75"/>
      <c r="AF19" s="75"/>
      <c r="AK19" s="75"/>
      <c r="AO19" s="75"/>
      <c r="AS19" s="75"/>
      <c r="AX19" s="75"/>
      <c r="BB19" s="75"/>
    </row>
    <row r="20" spans="2:58" ht="15.75" x14ac:dyDescent="0.25">
      <c r="B20" s="13" t="s">
        <v>307</v>
      </c>
      <c r="C20" s="13" t="s">
        <v>200</v>
      </c>
      <c r="D20" s="13" t="s">
        <v>305</v>
      </c>
      <c r="E20" s="13">
        <v>1</v>
      </c>
      <c r="F20" s="13" t="s">
        <v>166</v>
      </c>
      <c r="K20" s="75"/>
      <c r="O20" s="75"/>
      <c r="S20" s="75"/>
      <c r="X20" s="75"/>
      <c r="AB20" s="75"/>
      <c r="AF20" s="75"/>
      <c r="AK20" s="75"/>
      <c r="AO20" s="75"/>
      <c r="AS20" s="75"/>
      <c r="AX20" s="75"/>
      <c r="BB20" s="75"/>
    </row>
    <row r="21" spans="2:58" ht="15.75" x14ac:dyDescent="0.25">
      <c r="B21" s="13" t="s">
        <v>307</v>
      </c>
      <c r="C21" s="13" t="s">
        <v>201</v>
      </c>
      <c r="D21" s="13" t="s">
        <v>304</v>
      </c>
      <c r="E21" s="13">
        <v>1</v>
      </c>
      <c r="F21" s="13" t="s">
        <v>67</v>
      </c>
      <c r="O21" s="20"/>
      <c r="AB21" s="20"/>
      <c r="AO21" s="20"/>
    </row>
    <row r="22" spans="2:58" ht="15.75" x14ac:dyDescent="0.25">
      <c r="B22" s="13" t="s">
        <v>307</v>
      </c>
      <c r="C22" s="13" t="s">
        <v>203</v>
      </c>
      <c r="D22" s="13" t="s">
        <v>304</v>
      </c>
      <c r="E22" s="13">
        <v>1</v>
      </c>
      <c r="F22" s="13" t="s">
        <v>67</v>
      </c>
      <c r="O22" s="20"/>
      <c r="AB22" s="20"/>
      <c r="AO22" s="20"/>
    </row>
    <row r="23" spans="2:58" ht="15.75" x14ac:dyDescent="0.25">
      <c r="B23" s="13" t="s">
        <v>307</v>
      </c>
      <c r="C23" s="13" t="s">
        <v>174</v>
      </c>
      <c r="D23" s="13" t="s">
        <v>304</v>
      </c>
      <c r="E23" s="13">
        <v>2</v>
      </c>
      <c r="F23" s="13" t="s">
        <v>65</v>
      </c>
      <c r="T23" s="76"/>
    </row>
    <row r="24" spans="2:58" ht="15.75" x14ac:dyDescent="0.25">
      <c r="B24" s="13" t="s">
        <v>307</v>
      </c>
      <c r="C24" s="13" t="s">
        <v>175</v>
      </c>
      <c r="D24" s="13" t="s">
        <v>306</v>
      </c>
      <c r="E24" s="13">
        <v>1</v>
      </c>
      <c r="F24" s="13" t="s">
        <v>62</v>
      </c>
      <c r="T24" s="77"/>
    </row>
    <row r="25" spans="2:58" ht="15.75" x14ac:dyDescent="0.25">
      <c r="B25" s="13" t="s">
        <v>308</v>
      </c>
      <c r="C25" s="13" t="s">
        <v>197</v>
      </c>
      <c r="D25" s="13" t="s">
        <v>305</v>
      </c>
      <c r="E25" s="13">
        <v>1</v>
      </c>
      <c r="F25" s="13" t="s">
        <v>168</v>
      </c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</row>
    <row r="26" spans="2:58" ht="15.75" x14ac:dyDescent="0.25">
      <c r="B26" s="13" t="s">
        <v>308</v>
      </c>
      <c r="C26" s="13" t="s">
        <v>213</v>
      </c>
      <c r="D26" s="13" t="s">
        <v>304</v>
      </c>
      <c r="E26" s="13">
        <v>1</v>
      </c>
      <c r="F26" s="13" t="s">
        <v>168</v>
      </c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</row>
    <row r="27" spans="2:58" ht="15.75" x14ac:dyDescent="0.25">
      <c r="B27" s="13" t="s">
        <v>308</v>
      </c>
      <c r="C27" s="13" t="s">
        <v>198</v>
      </c>
      <c r="D27" s="13" t="s">
        <v>305</v>
      </c>
      <c r="E27" s="13">
        <v>2</v>
      </c>
      <c r="F27" s="13" t="s">
        <v>168</v>
      </c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</row>
    <row r="28" spans="2:58" ht="15.75" x14ac:dyDescent="0.25">
      <c r="B28" s="13" t="s">
        <v>308</v>
      </c>
      <c r="C28" s="13" t="s">
        <v>167</v>
      </c>
      <c r="D28" s="13" t="s">
        <v>304</v>
      </c>
      <c r="E28" s="13"/>
      <c r="F28" s="13" t="s">
        <v>168</v>
      </c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</row>
    <row r="29" spans="2:58" ht="15.75" x14ac:dyDescent="0.25">
      <c r="B29" s="13" t="s">
        <v>308</v>
      </c>
      <c r="C29" s="13" t="s">
        <v>215</v>
      </c>
      <c r="D29" s="13" t="s">
        <v>304</v>
      </c>
      <c r="E29" s="13">
        <v>1</v>
      </c>
      <c r="F29" s="13" t="s">
        <v>166</v>
      </c>
      <c r="K29" s="75"/>
      <c r="O29" s="75"/>
      <c r="S29" s="75"/>
      <c r="X29" s="75"/>
      <c r="AB29" s="75"/>
      <c r="AF29" s="75"/>
      <c r="AK29" s="75"/>
      <c r="AO29" s="75"/>
      <c r="AS29" s="75"/>
      <c r="AX29" s="75"/>
      <c r="BB29" s="75"/>
    </row>
    <row r="30" spans="2:58" ht="15.75" x14ac:dyDescent="0.25">
      <c r="B30" s="13" t="s">
        <v>308</v>
      </c>
      <c r="C30" s="13" t="s">
        <v>214</v>
      </c>
      <c r="D30" s="13" t="s">
        <v>304</v>
      </c>
      <c r="E30" s="13">
        <v>2</v>
      </c>
      <c r="F30" s="13" t="s">
        <v>166</v>
      </c>
      <c r="K30" s="75"/>
      <c r="O30" s="75"/>
      <c r="S30" s="75"/>
      <c r="X30" s="75"/>
      <c r="AB30" s="75"/>
      <c r="AF30" s="75"/>
      <c r="AK30" s="75"/>
      <c r="AO30" s="75"/>
      <c r="AS30" s="75"/>
      <c r="AX30" s="75"/>
      <c r="BB30" s="75"/>
    </row>
    <row r="31" spans="2:58" ht="15.75" x14ac:dyDescent="0.25">
      <c r="B31" s="13" t="s">
        <v>308</v>
      </c>
      <c r="C31" s="13" t="s">
        <v>203</v>
      </c>
      <c r="D31" s="13" t="s">
        <v>304</v>
      </c>
      <c r="E31" s="13">
        <v>1</v>
      </c>
      <c r="F31" s="13" t="s">
        <v>67</v>
      </c>
      <c r="O31" s="20"/>
      <c r="AB31" s="20"/>
      <c r="AO31" s="20"/>
    </row>
    <row r="32" spans="2:58" ht="15.75" x14ac:dyDescent="0.25">
      <c r="B32" s="13" t="s">
        <v>308</v>
      </c>
      <c r="C32" s="13" t="s">
        <v>204</v>
      </c>
      <c r="D32" s="13" t="s">
        <v>309</v>
      </c>
      <c r="E32" s="13">
        <v>1</v>
      </c>
      <c r="F32" s="13" t="s">
        <v>62</v>
      </c>
      <c r="T32" s="77"/>
    </row>
    <row r="33" spans="2:20" ht="15.75" x14ac:dyDescent="0.25">
      <c r="B33" s="13" t="s">
        <v>308</v>
      </c>
      <c r="C33" s="13" t="s">
        <v>216</v>
      </c>
      <c r="D33" s="13" t="s">
        <v>304</v>
      </c>
      <c r="E33" s="13">
        <v>1</v>
      </c>
      <c r="F33" s="13" t="s">
        <v>62</v>
      </c>
      <c r="T33" s="77"/>
    </row>
    <row r="34" spans="2:20" ht="15.75" x14ac:dyDescent="0.25">
      <c r="B34" s="13" t="s">
        <v>310</v>
      </c>
      <c r="C34" s="13" t="s">
        <v>311</v>
      </c>
      <c r="D34" s="13"/>
      <c r="E34" s="13"/>
      <c r="F34" s="13"/>
    </row>
    <row r="35" spans="2:20" ht="31.5" x14ac:dyDescent="0.25">
      <c r="B35" s="13" t="s">
        <v>310</v>
      </c>
      <c r="C35" s="13" t="s">
        <v>312</v>
      </c>
      <c r="D35" s="13"/>
      <c r="E35" s="13"/>
      <c r="F35" s="13"/>
    </row>
    <row r="36" spans="2:20" ht="31.5" x14ac:dyDescent="0.25">
      <c r="B36" s="13" t="s">
        <v>310</v>
      </c>
      <c r="C36" s="13" t="s">
        <v>313</v>
      </c>
      <c r="D36" s="13"/>
      <c r="E36" s="13"/>
      <c r="F36" s="13"/>
    </row>
    <row r="37" spans="2:20" ht="15.75" x14ac:dyDescent="0.25">
      <c r="B37" s="13" t="s">
        <v>310</v>
      </c>
      <c r="C37" s="13" t="s">
        <v>314</v>
      </c>
      <c r="D37" s="13"/>
      <c r="E37" s="13"/>
      <c r="F37" s="13"/>
    </row>
    <row r="38" spans="2:20" ht="31.5" x14ac:dyDescent="0.25">
      <c r="B38" s="13" t="s">
        <v>310</v>
      </c>
      <c r="C38" s="13" t="s">
        <v>315</v>
      </c>
      <c r="D38" s="13"/>
      <c r="E38" s="13"/>
      <c r="F38" s="13"/>
    </row>
    <row r="39" spans="2:20" ht="31.5" x14ac:dyDescent="0.25">
      <c r="B39" s="13" t="s">
        <v>310</v>
      </c>
      <c r="C39" s="13" t="s">
        <v>316</v>
      </c>
      <c r="D39" s="13"/>
      <c r="E39" s="13"/>
      <c r="F39" s="13"/>
    </row>
    <row r="40" spans="2:20" ht="15.75" x14ac:dyDescent="0.25">
      <c r="B40" s="13" t="s">
        <v>310</v>
      </c>
      <c r="C40" s="13" t="s">
        <v>317</v>
      </c>
      <c r="D40" s="13"/>
      <c r="E40" s="13"/>
      <c r="F40" s="13"/>
    </row>
    <row r="41" spans="2:20" ht="31.5" x14ac:dyDescent="0.25">
      <c r="B41" s="13" t="s">
        <v>310</v>
      </c>
      <c r="C41" s="13" t="s">
        <v>318</v>
      </c>
      <c r="D41" s="13"/>
      <c r="E41" s="13"/>
      <c r="F41" s="13"/>
    </row>
    <row r="42" spans="2:20" ht="15.75" x14ac:dyDescent="0.25">
      <c r="B42" s="13" t="s">
        <v>310</v>
      </c>
      <c r="C42" s="13" t="s">
        <v>319</v>
      </c>
      <c r="D42" s="13"/>
      <c r="E42" s="13"/>
      <c r="F42" s="13"/>
    </row>
    <row r="43" spans="2:20" ht="15.75" x14ac:dyDescent="0.25">
      <c r="B43" s="13" t="s">
        <v>310</v>
      </c>
      <c r="C43" s="13" t="s">
        <v>320</v>
      </c>
      <c r="D43" s="13"/>
      <c r="E43" s="13"/>
      <c r="F43" s="13"/>
    </row>
    <row r="44" spans="2:20" ht="15.75" x14ac:dyDescent="0.25">
      <c r="B44" s="13" t="s">
        <v>310</v>
      </c>
      <c r="C44" s="13" t="s">
        <v>321</v>
      </c>
      <c r="D44" s="13"/>
      <c r="E44" s="13"/>
      <c r="F44" s="13"/>
    </row>
    <row r="45" spans="2:20" ht="15.75" x14ac:dyDescent="0.25">
      <c r="B45" s="13" t="s">
        <v>310</v>
      </c>
      <c r="C45" s="13" t="s">
        <v>322</v>
      </c>
      <c r="D45" s="13"/>
      <c r="E45" s="13"/>
      <c r="F45" s="13"/>
    </row>
    <row r="46" spans="2:20" ht="15.75" x14ac:dyDescent="0.25">
      <c r="B46" s="13" t="s">
        <v>310</v>
      </c>
      <c r="C46" s="13" t="s">
        <v>323</v>
      </c>
      <c r="D46" s="13"/>
      <c r="E46" s="13"/>
      <c r="F46" s="13"/>
    </row>
    <row r="47" spans="2:20" ht="15.75" x14ac:dyDescent="0.25">
      <c r="B47" s="13" t="s">
        <v>310</v>
      </c>
      <c r="C47" s="13" t="s">
        <v>214</v>
      </c>
      <c r="D47" s="13"/>
      <c r="E47" s="13"/>
      <c r="F47" s="13"/>
    </row>
    <row r="48" spans="2:20" ht="31.5" x14ac:dyDescent="0.25">
      <c r="B48" s="13" t="s">
        <v>310</v>
      </c>
      <c r="C48" s="13" t="s">
        <v>324</v>
      </c>
      <c r="D48" s="13"/>
      <c r="E48" s="13"/>
      <c r="F48" s="13"/>
    </row>
    <row r="49" spans="2:7" ht="31.5" x14ac:dyDescent="0.25">
      <c r="B49" s="13" t="s">
        <v>310</v>
      </c>
      <c r="C49" s="13" t="s">
        <v>325</v>
      </c>
      <c r="D49" s="13"/>
      <c r="E49" s="13"/>
      <c r="F49" s="13"/>
    </row>
    <row r="50" spans="2:7" ht="15.75" x14ac:dyDescent="0.25">
      <c r="B50" s="13" t="s">
        <v>310</v>
      </c>
      <c r="C50" s="13" t="s">
        <v>326</v>
      </c>
      <c r="D50" s="13"/>
      <c r="E50" s="13"/>
      <c r="F50" s="13"/>
    </row>
    <row r="51" spans="2:7" ht="31.5" x14ac:dyDescent="0.25">
      <c r="B51" s="13" t="s">
        <v>310</v>
      </c>
      <c r="C51" s="13" t="s">
        <v>327</v>
      </c>
      <c r="D51" s="13"/>
      <c r="E51" s="13"/>
      <c r="F51" s="13"/>
    </row>
    <row r="52" spans="2:7" ht="15.75" x14ac:dyDescent="0.25">
      <c r="B52" s="13" t="s">
        <v>328</v>
      </c>
      <c r="C52" s="13"/>
      <c r="D52" s="13"/>
      <c r="E52" s="13"/>
      <c r="F52" s="13"/>
    </row>
    <row r="53" spans="2:7" ht="15.75" x14ac:dyDescent="0.25">
      <c r="B53" s="13" t="s">
        <v>329</v>
      </c>
      <c r="C53" s="13"/>
      <c r="D53" s="13"/>
      <c r="E53" s="13"/>
      <c r="F53" s="13"/>
    </row>
    <row r="54" spans="2:7" ht="15.75" x14ac:dyDescent="0.25">
      <c r="B54" s="13" t="s">
        <v>330</v>
      </c>
      <c r="C54" s="13" t="s">
        <v>331</v>
      </c>
      <c r="D54" s="13" t="s">
        <v>305</v>
      </c>
      <c r="E54" s="13">
        <v>1</v>
      </c>
      <c r="F54" s="13"/>
      <c r="G54" s="79"/>
    </row>
    <row r="55" spans="2:7" ht="15.75" x14ac:dyDescent="0.25">
      <c r="B55" s="13" t="s">
        <v>330</v>
      </c>
      <c r="C55" s="13" t="s">
        <v>332</v>
      </c>
      <c r="D55" s="13" t="s">
        <v>304</v>
      </c>
      <c r="E55" s="13">
        <v>1</v>
      </c>
      <c r="F55" s="13"/>
      <c r="G55" s="79"/>
    </row>
    <row r="56" spans="2:7" ht="15.75" x14ac:dyDescent="0.25">
      <c r="B56" s="13" t="s">
        <v>330</v>
      </c>
      <c r="C56" s="13" t="s">
        <v>333</v>
      </c>
      <c r="D56" s="13" t="s">
        <v>304</v>
      </c>
      <c r="E56" s="13">
        <v>1</v>
      </c>
      <c r="F56" s="13"/>
      <c r="G56" s="79"/>
    </row>
    <row r="57" spans="2:7" ht="15.75" x14ac:dyDescent="0.25">
      <c r="B57" s="13" t="s">
        <v>330</v>
      </c>
      <c r="C57" s="13" t="s">
        <v>334</v>
      </c>
      <c r="D57" s="13" t="s">
        <v>304</v>
      </c>
      <c r="E57" s="13">
        <v>1</v>
      </c>
      <c r="F57" s="13"/>
      <c r="G57" s="79"/>
    </row>
    <row r="58" spans="2:7" ht="15.75" x14ac:dyDescent="0.25">
      <c r="B58" s="13" t="s">
        <v>330</v>
      </c>
      <c r="C58" s="13" t="s">
        <v>335</v>
      </c>
      <c r="D58" s="13" t="s">
        <v>305</v>
      </c>
      <c r="E58" s="13">
        <v>1</v>
      </c>
      <c r="F58" s="13"/>
      <c r="G58" s="79"/>
    </row>
    <row r="59" spans="2:7" ht="31.5" x14ac:dyDescent="0.25">
      <c r="B59" s="13" t="s">
        <v>330</v>
      </c>
      <c r="C59" s="13" t="s">
        <v>336</v>
      </c>
      <c r="D59" s="13" t="s">
        <v>304</v>
      </c>
      <c r="E59" s="13">
        <v>2</v>
      </c>
      <c r="F59" s="13"/>
      <c r="G59" s="79"/>
    </row>
    <row r="60" spans="2:7" ht="15.75" x14ac:dyDescent="0.25">
      <c r="B60" s="13" t="s">
        <v>330</v>
      </c>
      <c r="C60" s="13" t="s">
        <v>337</v>
      </c>
      <c r="D60" s="13" t="s">
        <v>304</v>
      </c>
      <c r="E60" s="13">
        <v>6</v>
      </c>
      <c r="F60" s="13"/>
      <c r="G60" s="79"/>
    </row>
    <row r="61" spans="2:7" ht="15.75" x14ac:dyDescent="0.25">
      <c r="B61" s="13" t="s">
        <v>330</v>
      </c>
      <c r="C61" s="13" t="s">
        <v>338</v>
      </c>
      <c r="D61" s="13" t="s">
        <v>304</v>
      </c>
      <c r="E61" s="13">
        <v>6</v>
      </c>
      <c r="F61" s="13"/>
      <c r="G61" s="79"/>
    </row>
    <row r="62" spans="2:7" ht="15.75" x14ac:dyDescent="0.25">
      <c r="B62" s="13" t="s">
        <v>330</v>
      </c>
      <c r="C62" s="13" t="s">
        <v>339</v>
      </c>
      <c r="D62" s="13" t="s">
        <v>304</v>
      </c>
      <c r="E62" s="13">
        <v>6</v>
      </c>
      <c r="F62" s="13"/>
      <c r="G62" s="79"/>
    </row>
    <row r="63" spans="2:7" ht="15.75" x14ac:dyDescent="0.25">
      <c r="B63" s="13" t="s">
        <v>330</v>
      </c>
      <c r="C63" s="13" t="s">
        <v>340</v>
      </c>
      <c r="D63" s="13" t="s">
        <v>304</v>
      </c>
      <c r="E63" s="13">
        <v>6</v>
      </c>
      <c r="F63" s="13"/>
      <c r="G63" s="79"/>
    </row>
    <row r="64" spans="2:7" ht="15.75" x14ac:dyDescent="0.25">
      <c r="B64" s="13" t="s">
        <v>330</v>
      </c>
      <c r="C64" s="13" t="s">
        <v>341</v>
      </c>
      <c r="D64" s="13" t="s">
        <v>305</v>
      </c>
      <c r="E64" s="13">
        <v>1</v>
      </c>
      <c r="F64" s="13"/>
      <c r="G64" s="79"/>
    </row>
    <row r="65" spans="2:7" ht="15.75" x14ac:dyDescent="0.25">
      <c r="B65" s="13" t="s">
        <v>330</v>
      </c>
      <c r="C65" s="13" t="s">
        <v>342</v>
      </c>
      <c r="D65" s="13" t="s">
        <v>304</v>
      </c>
      <c r="E65" s="13">
        <v>1</v>
      </c>
      <c r="F65" s="13"/>
      <c r="G65" s="79"/>
    </row>
    <row r="66" spans="2:7" ht="15.75" x14ac:dyDescent="0.25">
      <c r="B66" s="13" t="s">
        <v>330</v>
      </c>
      <c r="C66" s="13" t="s">
        <v>343</v>
      </c>
      <c r="D66" s="13" t="s">
        <v>309</v>
      </c>
      <c r="E66" s="13">
        <v>1</v>
      </c>
      <c r="F66" s="13"/>
      <c r="G66" s="79"/>
    </row>
    <row r="67" spans="2:7" ht="15.75" x14ac:dyDescent="0.25">
      <c r="B67" s="13" t="s">
        <v>330</v>
      </c>
      <c r="C67" s="13" t="s">
        <v>344</v>
      </c>
      <c r="D67" s="13" t="s">
        <v>309</v>
      </c>
      <c r="E67" s="13">
        <v>1</v>
      </c>
      <c r="F67" s="13"/>
      <c r="G67" s="79"/>
    </row>
    <row r="68" spans="2:7" ht="15.75" x14ac:dyDescent="0.25">
      <c r="B68" s="13" t="s">
        <v>330</v>
      </c>
      <c r="C68" s="13" t="s">
        <v>345</v>
      </c>
      <c r="D68" s="13" t="s">
        <v>309</v>
      </c>
      <c r="E68" s="13">
        <v>1</v>
      </c>
      <c r="F68" s="13"/>
      <c r="G68" s="79"/>
    </row>
    <row r="69" spans="2:7" ht="15.75" x14ac:dyDescent="0.25">
      <c r="B69" s="13" t="s">
        <v>330</v>
      </c>
      <c r="C69" s="13" t="s">
        <v>346</v>
      </c>
      <c r="D69" s="13" t="s">
        <v>309</v>
      </c>
      <c r="E69" s="13">
        <v>1</v>
      </c>
      <c r="F69" s="13"/>
      <c r="G69" s="79"/>
    </row>
    <row r="70" spans="2:7" ht="15.75" x14ac:dyDescent="0.25">
      <c r="B70" s="13" t="s">
        <v>330</v>
      </c>
      <c r="C70" s="13" t="s">
        <v>347</v>
      </c>
      <c r="D70" s="13" t="s">
        <v>305</v>
      </c>
      <c r="E70" s="13">
        <v>1</v>
      </c>
      <c r="F70" s="13"/>
      <c r="G70" s="79"/>
    </row>
    <row r="71" spans="2:7" ht="15.75" x14ac:dyDescent="0.25">
      <c r="B71" s="13" t="s">
        <v>330</v>
      </c>
      <c r="C71" s="13" t="s">
        <v>348</v>
      </c>
      <c r="D71" s="13" t="s">
        <v>305</v>
      </c>
      <c r="E71" s="13">
        <v>1</v>
      </c>
      <c r="F71" s="13"/>
      <c r="G71" s="79"/>
    </row>
    <row r="72" spans="2:7" ht="15.75" x14ac:dyDescent="0.25">
      <c r="B72" s="13" t="s">
        <v>330</v>
      </c>
      <c r="C72" s="13" t="s">
        <v>349</v>
      </c>
      <c r="D72" s="13" t="s">
        <v>305</v>
      </c>
      <c r="E72" s="13">
        <v>1</v>
      </c>
      <c r="F72" s="13"/>
      <c r="G72" s="79"/>
    </row>
    <row r="73" spans="2:7" ht="15.75" x14ac:dyDescent="0.25">
      <c r="B73" s="13" t="s">
        <v>330</v>
      </c>
      <c r="C73" s="13" t="s">
        <v>350</v>
      </c>
      <c r="D73" s="13" t="s">
        <v>309</v>
      </c>
      <c r="E73" s="13" t="s">
        <v>63</v>
      </c>
      <c r="F73" s="13"/>
      <c r="G73" s="79"/>
    </row>
    <row r="74" spans="2:7" ht="31.5" x14ac:dyDescent="0.25">
      <c r="B74" s="13" t="s">
        <v>351</v>
      </c>
      <c r="C74" s="13" t="s">
        <v>188</v>
      </c>
      <c r="D74" s="13" t="s">
        <v>352</v>
      </c>
      <c r="E74" s="13">
        <v>1</v>
      </c>
      <c r="F74" s="13" t="s">
        <v>189</v>
      </c>
      <c r="G74" s="80"/>
    </row>
    <row r="75" spans="2:7" ht="15.75" x14ac:dyDescent="0.25">
      <c r="B75" s="13" t="s">
        <v>351</v>
      </c>
      <c r="C75" s="13" t="s">
        <v>191</v>
      </c>
      <c r="D75" s="13" t="s">
        <v>353</v>
      </c>
      <c r="E75" s="13">
        <v>5</v>
      </c>
      <c r="F75" s="13" t="s">
        <v>189</v>
      </c>
      <c r="G75" s="80"/>
    </row>
    <row r="76" spans="2:7" ht="15.75" x14ac:dyDescent="0.25">
      <c r="B76" s="13" t="s">
        <v>351</v>
      </c>
      <c r="C76" s="13" t="s">
        <v>182</v>
      </c>
      <c r="D76" s="13" t="s">
        <v>354</v>
      </c>
      <c r="E76" s="13">
        <v>1</v>
      </c>
      <c r="F76" s="13" t="s">
        <v>168</v>
      </c>
      <c r="G76" s="80"/>
    </row>
    <row r="77" spans="2:7" ht="15.75" x14ac:dyDescent="0.25">
      <c r="B77" s="13" t="s">
        <v>351</v>
      </c>
      <c r="C77" s="13" t="s">
        <v>183</v>
      </c>
      <c r="D77" s="13" t="s">
        <v>352</v>
      </c>
      <c r="E77" s="13">
        <v>1</v>
      </c>
      <c r="F77" s="13" t="s">
        <v>168</v>
      </c>
      <c r="G77" s="80"/>
    </row>
    <row r="78" spans="2:7" ht="31.5" x14ac:dyDescent="0.25">
      <c r="B78" s="13" t="s">
        <v>351</v>
      </c>
      <c r="C78" s="13" t="s">
        <v>184</v>
      </c>
      <c r="D78" s="13" t="s">
        <v>305</v>
      </c>
      <c r="E78" s="13">
        <v>1</v>
      </c>
      <c r="F78" s="13" t="s">
        <v>168</v>
      </c>
      <c r="G78" s="80"/>
    </row>
    <row r="79" spans="2:7" ht="78.75" x14ac:dyDescent="0.25">
      <c r="B79" s="13" t="s">
        <v>351</v>
      </c>
      <c r="C79" s="13" t="s">
        <v>180</v>
      </c>
      <c r="D79" s="13" t="s">
        <v>305</v>
      </c>
      <c r="E79" s="13">
        <v>2</v>
      </c>
      <c r="F79" s="13" t="s">
        <v>166</v>
      </c>
      <c r="G79" s="81"/>
    </row>
    <row r="80" spans="2:7" ht="31.5" x14ac:dyDescent="0.25">
      <c r="B80" s="13" t="s">
        <v>351</v>
      </c>
      <c r="C80" s="13" t="s">
        <v>185</v>
      </c>
      <c r="D80" s="13" t="s">
        <v>305</v>
      </c>
      <c r="E80" s="13">
        <v>2</v>
      </c>
      <c r="F80" s="13" t="s">
        <v>166</v>
      </c>
      <c r="G80" s="80"/>
    </row>
    <row r="81" spans="2:7" ht="31.5" x14ac:dyDescent="0.25">
      <c r="B81" s="13" t="s">
        <v>351</v>
      </c>
      <c r="C81" s="13" t="s">
        <v>186</v>
      </c>
      <c r="D81" s="13" t="s">
        <v>352</v>
      </c>
      <c r="E81" s="13">
        <v>2</v>
      </c>
      <c r="F81" s="13" t="s">
        <v>166</v>
      </c>
      <c r="G81" s="80"/>
    </row>
    <row r="82" spans="2:7" ht="63" x14ac:dyDescent="0.25">
      <c r="B82" s="13" t="s">
        <v>351</v>
      </c>
      <c r="C82" s="13" t="s">
        <v>179</v>
      </c>
      <c r="D82" s="13" t="s">
        <v>63</v>
      </c>
      <c r="E82" s="13">
        <v>2</v>
      </c>
      <c r="F82" s="13" t="s">
        <v>166</v>
      </c>
      <c r="G82" s="79"/>
    </row>
    <row r="83" spans="2:7" ht="15.75" x14ac:dyDescent="0.25">
      <c r="B83" s="13" t="s">
        <v>351</v>
      </c>
      <c r="C83" s="13" t="s">
        <v>190</v>
      </c>
      <c r="D83" s="13" t="s">
        <v>353</v>
      </c>
      <c r="E83" s="13" t="s">
        <v>63</v>
      </c>
      <c r="F83" s="13" t="s">
        <v>62</v>
      </c>
      <c r="G83" s="80"/>
    </row>
    <row r="84" spans="2:7" ht="31.5" x14ac:dyDescent="0.25">
      <c r="B84" s="13" t="s">
        <v>351</v>
      </c>
      <c r="C84" s="13" t="s">
        <v>355</v>
      </c>
      <c r="D84" s="13" t="s">
        <v>353</v>
      </c>
      <c r="E84" s="13">
        <v>5</v>
      </c>
      <c r="F84" s="13" t="s">
        <v>62</v>
      </c>
      <c r="G84" s="80"/>
    </row>
    <row r="85" spans="2:7" ht="31.5" x14ac:dyDescent="0.25">
      <c r="B85" s="13" t="s">
        <v>351</v>
      </c>
      <c r="C85" s="13" t="s">
        <v>193</v>
      </c>
      <c r="D85" s="13" t="s">
        <v>356</v>
      </c>
      <c r="E85" s="13">
        <v>2</v>
      </c>
      <c r="F85" s="13" t="s">
        <v>62</v>
      </c>
      <c r="G85" s="80"/>
    </row>
    <row r="86" spans="2:7" ht="47.25" x14ac:dyDescent="0.25">
      <c r="B86" s="13" t="s">
        <v>351</v>
      </c>
      <c r="C86" s="13" t="s">
        <v>357</v>
      </c>
      <c r="D86" s="13" t="s">
        <v>353</v>
      </c>
      <c r="E86" s="13">
        <v>2</v>
      </c>
      <c r="F86" s="13" t="s">
        <v>63</v>
      </c>
      <c r="G86" s="80"/>
    </row>
    <row r="87" spans="2:7" ht="15.75" x14ac:dyDescent="0.25">
      <c r="B87" s="13" t="s">
        <v>358</v>
      </c>
      <c r="C87" s="13" t="s">
        <v>220</v>
      </c>
      <c r="D87" s="13" t="s">
        <v>305</v>
      </c>
      <c r="E87" s="13">
        <v>1</v>
      </c>
      <c r="F87" s="13" t="s">
        <v>168</v>
      </c>
      <c r="G87" s="81"/>
    </row>
    <row r="88" spans="2:7" ht="15" customHeight="1" x14ac:dyDescent="0.25">
      <c r="B88" s="13" t="s">
        <v>358</v>
      </c>
      <c r="C88" s="13" t="s">
        <v>198</v>
      </c>
      <c r="D88" s="13" t="s">
        <v>305</v>
      </c>
      <c r="E88" s="13">
        <v>2</v>
      </c>
      <c r="F88" s="13" t="s">
        <v>168</v>
      </c>
      <c r="G88" s="80"/>
    </row>
    <row r="89" spans="2:7" ht="15.75" x14ac:dyDescent="0.25">
      <c r="B89" s="13" t="s">
        <v>358</v>
      </c>
      <c r="C89" s="13" t="s">
        <v>167</v>
      </c>
      <c r="D89" s="13" t="s">
        <v>359</v>
      </c>
      <c r="E89" s="13">
        <v>4</v>
      </c>
      <c r="F89" s="13" t="s">
        <v>168</v>
      </c>
      <c r="G89" s="80"/>
    </row>
    <row r="90" spans="2:7" ht="15.75" x14ac:dyDescent="0.25">
      <c r="B90" s="13" t="s">
        <v>358</v>
      </c>
      <c r="C90" s="13" t="s">
        <v>203</v>
      </c>
      <c r="D90" s="13" t="s">
        <v>359</v>
      </c>
      <c r="E90" s="13">
        <v>1</v>
      </c>
      <c r="F90" s="13" t="s">
        <v>67</v>
      </c>
      <c r="G90" s="80"/>
    </row>
    <row r="91" spans="2:7" ht="15.75" x14ac:dyDescent="0.25">
      <c r="B91" s="13" t="s">
        <v>358</v>
      </c>
      <c r="C91" s="13" t="s">
        <v>214</v>
      </c>
      <c r="D91" s="13" t="s">
        <v>359</v>
      </c>
      <c r="E91" s="13">
        <v>2</v>
      </c>
      <c r="F91" s="13" t="s">
        <v>166</v>
      </c>
      <c r="G91" s="80"/>
    </row>
    <row r="92" spans="2:7" ht="15.75" x14ac:dyDescent="0.25">
      <c r="B92" s="13" t="s">
        <v>358</v>
      </c>
      <c r="C92" s="13" t="s">
        <v>221</v>
      </c>
      <c r="D92" s="13" t="s">
        <v>359</v>
      </c>
      <c r="E92" s="13">
        <v>2</v>
      </c>
      <c r="F92" s="13" t="s">
        <v>166</v>
      </c>
      <c r="G92" s="80"/>
    </row>
    <row r="93" spans="2:7" ht="15.75" x14ac:dyDescent="0.25">
      <c r="B93" s="13" t="s">
        <v>358</v>
      </c>
      <c r="C93" s="13" t="s">
        <v>222</v>
      </c>
      <c r="D93" s="13" t="s">
        <v>359</v>
      </c>
      <c r="E93" s="13">
        <v>2</v>
      </c>
      <c r="F93" s="13" t="s">
        <v>166</v>
      </c>
      <c r="G93" s="82"/>
    </row>
    <row r="94" spans="2:7" ht="15.75" x14ac:dyDescent="0.25">
      <c r="B94" s="13" t="s">
        <v>358</v>
      </c>
      <c r="C94" s="13" t="s">
        <v>204</v>
      </c>
      <c r="D94" s="13" t="s">
        <v>360</v>
      </c>
      <c r="E94" s="13">
        <v>1</v>
      </c>
      <c r="F94" s="13" t="s">
        <v>62</v>
      </c>
      <c r="G94" s="80"/>
    </row>
    <row r="95" spans="2:7" ht="15.75" x14ac:dyDescent="0.25">
      <c r="B95" s="13" t="s">
        <v>358</v>
      </c>
      <c r="C95" s="13" t="s">
        <v>216</v>
      </c>
      <c r="D95" s="13" t="s">
        <v>359</v>
      </c>
      <c r="E95" s="13">
        <v>1</v>
      </c>
      <c r="F95" s="13" t="s">
        <v>62</v>
      </c>
      <c r="G95" s="80"/>
    </row>
    <row r="96" spans="2:7" ht="15.75" x14ac:dyDescent="0.25">
      <c r="B96" s="13" t="s">
        <v>328</v>
      </c>
      <c r="C96" s="13" t="s">
        <v>198</v>
      </c>
      <c r="D96" s="13" t="s">
        <v>352</v>
      </c>
      <c r="E96" s="13">
        <v>2</v>
      </c>
      <c r="F96" s="13" t="s">
        <v>168</v>
      </c>
      <c r="G96" s="80"/>
    </row>
    <row r="97" spans="2:7" ht="15.75" x14ac:dyDescent="0.25">
      <c r="B97" s="13" t="s">
        <v>328</v>
      </c>
      <c r="C97" s="13" t="s">
        <v>174</v>
      </c>
      <c r="D97" s="13" t="s">
        <v>352</v>
      </c>
      <c r="E97" s="13">
        <v>2</v>
      </c>
      <c r="F97" s="13" t="s">
        <v>168</v>
      </c>
      <c r="G97" s="80"/>
    </row>
    <row r="98" spans="2:7" ht="15.75" x14ac:dyDescent="0.25">
      <c r="B98" s="13" t="s">
        <v>328</v>
      </c>
      <c r="C98" s="13" t="s">
        <v>206</v>
      </c>
      <c r="D98" s="13" t="s">
        <v>352</v>
      </c>
      <c r="E98" s="13">
        <v>1</v>
      </c>
      <c r="F98" s="13" t="s">
        <v>168</v>
      </c>
      <c r="G98" s="82"/>
    </row>
    <row r="99" spans="2:7" ht="15.75" x14ac:dyDescent="0.25">
      <c r="B99" s="13" t="s">
        <v>328</v>
      </c>
      <c r="C99" s="13" t="s">
        <v>167</v>
      </c>
      <c r="D99" s="13" t="s">
        <v>352</v>
      </c>
      <c r="E99" s="13">
        <v>2</v>
      </c>
      <c r="F99" s="13" t="s">
        <v>168</v>
      </c>
      <c r="G99" s="80"/>
    </row>
    <row r="100" spans="2:7" ht="15.75" x14ac:dyDescent="0.25">
      <c r="B100" s="13" t="s">
        <v>328</v>
      </c>
      <c r="C100" s="13" t="s">
        <v>205</v>
      </c>
      <c r="D100" s="13" t="s">
        <v>352</v>
      </c>
      <c r="E100" s="13">
        <v>2</v>
      </c>
      <c r="F100" s="13" t="s">
        <v>168</v>
      </c>
      <c r="G100" s="79"/>
    </row>
    <row r="101" spans="2:7" ht="15.75" x14ac:dyDescent="0.25">
      <c r="B101" s="13" t="s">
        <v>328</v>
      </c>
      <c r="C101" s="13" t="s">
        <v>197</v>
      </c>
      <c r="D101" s="13" t="s">
        <v>305</v>
      </c>
      <c r="E101" s="13">
        <v>1</v>
      </c>
      <c r="F101" s="13" t="s">
        <v>166</v>
      </c>
      <c r="G101" s="81"/>
    </row>
    <row r="102" spans="2:7" ht="15.75" x14ac:dyDescent="0.25">
      <c r="B102" s="13" t="s">
        <v>328</v>
      </c>
      <c r="C102" s="13" t="s">
        <v>199</v>
      </c>
      <c r="D102" s="13" t="s">
        <v>352</v>
      </c>
      <c r="E102" s="13">
        <v>2</v>
      </c>
      <c r="F102" s="13" t="s">
        <v>166</v>
      </c>
      <c r="G102" s="80"/>
    </row>
    <row r="103" spans="2:7" ht="15.75" x14ac:dyDescent="0.25">
      <c r="B103" s="13" t="s">
        <v>328</v>
      </c>
      <c r="C103" s="13" t="s">
        <v>200</v>
      </c>
      <c r="D103" s="13" t="s">
        <v>305</v>
      </c>
      <c r="E103" s="13">
        <v>1</v>
      </c>
      <c r="F103" s="13" t="s">
        <v>166</v>
      </c>
      <c r="G103" s="80"/>
    </row>
    <row r="104" spans="2:7" ht="15.75" x14ac:dyDescent="0.25">
      <c r="B104" s="13" t="s">
        <v>328</v>
      </c>
      <c r="C104" s="13" t="s">
        <v>201</v>
      </c>
      <c r="D104" s="13" t="s">
        <v>352</v>
      </c>
      <c r="E104" s="13">
        <v>1</v>
      </c>
      <c r="F104" s="13" t="s">
        <v>67</v>
      </c>
      <c r="G104" s="80"/>
    </row>
    <row r="105" spans="2:7" ht="15.75" x14ac:dyDescent="0.25">
      <c r="B105" s="13" t="s">
        <v>328</v>
      </c>
      <c r="C105" s="13" t="s">
        <v>203</v>
      </c>
      <c r="D105" s="13" t="s">
        <v>352</v>
      </c>
      <c r="E105" s="13">
        <v>1</v>
      </c>
      <c r="F105" s="13" t="s">
        <v>65</v>
      </c>
      <c r="G105" s="80"/>
    </row>
    <row r="106" spans="2:7" ht="15.75" x14ac:dyDescent="0.25">
      <c r="B106" s="13" t="s">
        <v>328</v>
      </c>
      <c r="C106" s="13" t="s">
        <v>204</v>
      </c>
      <c r="D106" s="13" t="s">
        <v>356</v>
      </c>
      <c r="E106" s="13">
        <v>1</v>
      </c>
      <c r="F106" s="13" t="s">
        <v>62</v>
      </c>
      <c r="G106" s="80"/>
    </row>
  </sheetData>
  <mergeCells count="1">
    <mergeCell ref="B2:BF2"/>
  </mergeCells>
  <conditionalFormatting sqref="G53">
    <cfRule type="notContainsBlanks" dxfId="0" priority="1">
      <formula>LEN(TRIM(G53))&gt;0</formula>
    </cfRule>
  </conditionalFormatting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Plano de 52 Semanas AS </vt:lpstr>
      <vt:lpstr>Página1</vt:lpstr>
      <vt:lpstr>Plano de Lubrificação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Oberdan Nogueira</dc:creator>
  <cp:lastModifiedBy>jaime elias</cp:lastModifiedBy>
  <dcterms:created xsi:type="dcterms:W3CDTF">2022-04-20T18:22:52Z</dcterms:created>
  <dcterms:modified xsi:type="dcterms:W3CDTF">2026-08-11T23:32:35Z</dcterms:modified>
</cp:coreProperties>
</file>